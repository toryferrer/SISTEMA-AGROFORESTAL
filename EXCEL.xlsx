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45e15f3256d8fc/CHINO (TORY)/ING. LUIS MIGUEL TORIBIO FERRER/ARTICULOS/ARTICULO SISTEMA AGROFORESTA/"/>
    </mc:Choice>
  </mc:AlternateContent>
  <xr:revisionPtr revIDLastSave="2265" documentId="8_{92FBB01D-4DCA-419F-88DE-5C1DC34DF413}" xr6:coauthVersionLast="47" xr6:coauthVersionMax="47" xr10:uidLastSave="{CAA897A0-CA64-4382-ABB1-3F84A7F5B449}"/>
  <bookViews>
    <workbookView xWindow="-120" yWindow="-120" windowWidth="29040" windowHeight="15720" activeTab="1" xr2:uid="{DF50DB3A-EAC4-44EE-895E-AB246C7A2026}"/>
  </bookViews>
  <sheets>
    <sheet name="NOMBRE DE ESPECIE" sheetId="1" r:id="rId1"/>
    <sheet name="DATOS" sheetId="3" r:id="rId2"/>
    <sheet name="Hoja1" sheetId="4" r:id="rId3"/>
  </sheets>
  <definedNames>
    <definedName name="_xlnm._FilterDatabase" localSheetId="1" hidden="1">DATOS!$A$1:$M$1909</definedName>
    <definedName name="_xlnm._FilterDatabase" localSheetId="0" hidden="1">'NOMBRE DE ESPECIE'!$A$1:$G$1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18" i="3" l="1"/>
  <c r="I1910" i="3" l="1"/>
  <c r="I1818" i="3"/>
  <c r="E29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" i="4"/>
  <c r="K1907" i="3"/>
  <c r="K1908" i="3"/>
  <c r="L1908" i="3" s="1"/>
  <c r="K1909" i="3"/>
  <c r="L1909" i="3" s="1"/>
  <c r="K1906" i="3"/>
  <c r="L1906" i="3" s="1"/>
  <c r="K1905" i="3"/>
  <c r="L1905" i="3" s="1"/>
  <c r="K1894" i="3"/>
  <c r="L1894" i="3" s="1"/>
  <c r="K1895" i="3"/>
  <c r="L1895" i="3" s="1"/>
  <c r="K1896" i="3"/>
  <c r="L1896" i="3" s="1"/>
  <c r="K1897" i="3"/>
  <c r="L1897" i="3" s="1"/>
  <c r="K1898" i="3"/>
  <c r="L1898" i="3" s="1"/>
  <c r="K1899" i="3"/>
  <c r="L1899" i="3" s="1"/>
  <c r="K1900" i="3"/>
  <c r="L1900" i="3" s="1"/>
  <c r="K1901" i="3"/>
  <c r="L1901" i="3" s="1"/>
  <c r="K1902" i="3"/>
  <c r="L1902" i="3" s="1"/>
  <c r="K1903" i="3"/>
  <c r="L1903" i="3" s="1"/>
  <c r="K1904" i="3"/>
  <c r="L1904" i="3" s="1"/>
  <c r="K1893" i="3"/>
  <c r="L1893" i="3" s="1"/>
  <c r="K1892" i="3"/>
  <c r="L1892" i="3" s="1"/>
  <c r="K1891" i="3"/>
  <c r="L1891" i="3" s="1"/>
  <c r="K1890" i="3"/>
  <c r="L1890" i="3" s="1"/>
  <c r="K1889" i="3"/>
  <c r="L1889" i="3" s="1"/>
  <c r="M1889" i="3" s="1"/>
  <c r="I1889" i="3"/>
  <c r="I1862" i="3"/>
  <c r="I1874" i="3"/>
  <c r="I1886" i="3"/>
  <c r="K1851" i="3"/>
  <c r="L1851" i="3" s="1"/>
  <c r="K1852" i="3"/>
  <c r="L1852" i="3" s="1"/>
  <c r="K1853" i="3"/>
  <c r="L1853" i="3" s="1"/>
  <c r="K1854" i="3"/>
  <c r="K1855" i="3"/>
  <c r="L1855" i="3" s="1"/>
  <c r="K1856" i="3"/>
  <c r="L1856" i="3" s="1"/>
  <c r="K1857" i="3"/>
  <c r="L1857" i="3" s="1"/>
  <c r="K1858" i="3"/>
  <c r="L1858" i="3" s="1"/>
  <c r="K1859" i="3"/>
  <c r="L1859" i="3" s="1"/>
  <c r="K1860" i="3"/>
  <c r="L1860" i="3" s="1"/>
  <c r="K1861" i="3"/>
  <c r="L1861" i="3" s="1"/>
  <c r="K1862" i="3"/>
  <c r="L1862" i="3" s="1"/>
  <c r="K1863" i="3"/>
  <c r="L1863" i="3" s="1"/>
  <c r="K1864" i="3"/>
  <c r="L1864" i="3" s="1"/>
  <c r="K1865" i="3"/>
  <c r="L1865" i="3" s="1"/>
  <c r="K1866" i="3"/>
  <c r="L1866" i="3" s="1"/>
  <c r="K1867" i="3"/>
  <c r="L1867" i="3" s="1"/>
  <c r="K1868" i="3"/>
  <c r="L1868" i="3" s="1"/>
  <c r="K1869" i="3"/>
  <c r="L1869" i="3" s="1"/>
  <c r="K1870" i="3"/>
  <c r="L1870" i="3" s="1"/>
  <c r="K1871" i="3"/>
  <c r="L1871" i="3" s="1"/>
  <c r="K1872" i="3"/>
  <c r="L1872" i="3" s="1"/>
  <c r="K1873" i="3"/>
  <c r="L1873" i="3" s="1"/>
  <c r="K1874" i="3"/>
  <c r="L1874" i="3" s="1"/>
  <c r="K1875" i="3"/>
  <c r="L1875" i="3" s="1"/>
  <c r="K1876" i="3"/>
  <c r="L1876" i="3" s="1"/>
  <c r="K1877" i="3"/>
  <c r="L1877" i="3" s="1"/>
  <c r="K1878" i="3"/>
  <c r="L1878" i="3" s="1"/>
  <c r="K1879" i="3"/>
  <c r="L1879" i="3" s="1"/>
  <c r="K1880" i="3"/>
  <c r="L1880" i="3" s="1"/>
  <c r="K1881" i="3"/>
  <c r="L1881" i="3" s="1"/>
  <c r="K1882" i="3"/>
  <c r="L1882" i="3" s="1"/>
  <c r="K1883" i="3"/>
  <c r="L1883" i="3" s="1"/>
  <c r="K1884" i="3"/>
  <c r="L1884" i="3" s="1"/>
  <c r="K1885" i="3"/>
  <c r="L1885" i="3" s="1"/>
  <c r="K1886" i="3"/>
  <c r="L1886" i="3" s="1"/>
  <c r="K1887" i="3"/>
  <c r="L1887" i="3" s="1"/>
  <c r="K1888" i="3"/>
  <c r="L1888" i="3" s="1"/>
  <c r="K1850" i="3"/>
  <c r="L1850" i="3" s="1"/>
  <c r="L1854" i="3"/>
  <c r="L1907" i="3"/>
  <c r="J1839" i="3"/>
  <c r="K1839" i="3" s="1"/>
  <c r="L1839" i="3" s="1"/>
  <c r="K1848" i="3"/>
  <c r="L1848" i="3" s="1"/>
  <c r="K21" i="3"/>
  <c r="L21" i="3" s="1"/>
  <c r="K1849" i="3"/>
  <c r="L1849" i="3" s="1"/>
  <c r="K1818" i="3"/>
  <c r="L1818" i="3"/>
  <c r="M1818" i="3" s="1"/>
  <c r="K1809" i="3"/>
  <c r="L1809" i="3" s="1"/>
  <c r="K1810" i="3"/>
  <c r="L1810" i="3" s="1"/>
  <c r="K1811" i="3"/>
  <c r="L1811" i="3" s="1"/>
  <c r="K1812" i="3"/>
  <c r="L1812" i="3" s="1"/>
  <c r="K1813" i="3"/>
  <c r="L1813" i="3" s="1"/>
  <c r="K1814" i="3"/>
  <c r="L1814" i="3" s="1"/>
  <c r="K1815" i="3"/>
  <c r="L1815" i="3" s="1"/>
  <c r="K1816" i="3"/>
  <c r="L1816" i="3" s="1"/>
  <c r="K1817" i="3"/>
  <c r="L1817" i="3" s="1"/>
  <c r="J1823" i="3"/>
  <c r="K1823" i="3" s="1"/>
  <c r="L1823" i="3" s="1"/>
  <c r="J1828" i="3"/>
  <c r="K1828" i="3" s="1"/>
  <c r="L1828" i="3" s="1"/>
  <c r="J1829" i="3"/>
  <c r="K1829" i="3" s="1"/>
  <c r="L1829" i="3" s="1"/>
  <c r="J1830" i="3"/>
  <c r="K1830" i="3" s="1"/>
  <c r="L1830" i="3" s="1"/>
  <c r="J1831" i="3"/>
  <c r="K1831" i="3" s="1"/>
  <c r="L1831" i="3" s="1"/>
  <c r="J1835" i="3"/>
  <c r="K1835" i="3" s="1"/>
  <c r="L1835" i="3" s="1"/>
  <c r="J1838" i="3"/>
  <c r="K1838" i="3" s="1"/>
  <c r="L1838" i="3" s="1"/>
  <c r="J1840" i="3"/>
  <c r="K1840" i="3" s="1"/>
  <c r="L1840" i="3" s="1"/>
  <c r="J1841" i="3"/>
  <c r="K1841" i="3" s="1"/>
  <c r="L1841" i="3" s="1"/>
  <c r="J1842" i="3"/>
  <c r="K1842" i="3" s="1"/>
  <c r="L1842" i="3" s="1"/>
  <c r="J1843" i="3"/>
  <c r="K1843" i="3" s="1"/>
  <c r="L1843" i="3" s="1"/>
  <c r="J1844" i="3"/>
  <c r="K1844" i="3" s="1"/>
  <c r="L1844" i="3" s="1"/>
  <c r="J1845" i="3"/>
  <c r="K1845" i="3" s="1"/>
  <c r="L1845" i="3" s="1"/>
  <c r="J1846" i="3"/>
  <c r="K1846" i="3" s="1"/>
  <c r="L1846" i="3" s="1"/>
  <c r="J1847" i="3"/>
  <c r="I1838" i="3"/>
  <c r="J1819" i="3"/>
  <c r="K1819" i="3" s="1"/>
  <c r="L1819" i="3" s="1"/>
  <c r="J1820" i="3"/>
  <c r="K1820" i="3" s="1"/>
  <c r="L1820" i="3" s="1"/>
  <c r="J1821" i="3"/>
  <c r="K1821" i="3" s="1"/>
  <c r="L1821" i="3" s="1"/>
  <c r="J1822" i="3"/>
  <c r="K1822" i="3" s="1"/>
  <c r="L1822" i="3" s="1"/>
  <c r="J1824" i="3"/>
  <c r="K1824" i="3" s="1"/>
  <c r="L1824" i="3" s="1"/>
  <c r="J1825" i="3"/>
  <c r="K1825" i="3" s="1"/>
  <c r="L1825" i="3" s="1"/>
  <c r="J1826" i="3"/>
  <c r="K1826" i="3" s="1"/>
  <c r="L1826" i="3" s="1"/>
  <c r="J1827" i="3"/>
  <c r="K1827" i="3" s="1"/>
  <c r="L1827" i="3" s="1"/>
  <c r="J1832" i="3"/>
  <c r="K1832" i="3" s="1"/>
  <c r="L1832" i="3" s="1"/>
  <c r="J1833" i="3"/>
  <c r="K1833" i="3" s="1"/>
  <c r="L1833" i="3" s="1"/>
  <c r="J1834" i="3"/>
  <c r="K1834" i="3" s="1"/>
  <c r="L1834" i="3" s="1"/>
  <c r="J1836" i="3"/>
  <c r="K1836" i="3" s="1"/>
  <c r="L1836" i="3" s="1"/>
  <c r="J1837" i="3"/>
  <c r="K1837" i="3" s="1"/>
  <c r="L1837" i="3" s="1"/>
  <c r="J1798" i="3"/>
  <c r="K1798" i="3" s="1"/>
  <c r="L1798" i="3" s="1"/>
  <c r="J1799" i="3"/>
  <c r="K1799" i="3" s="1"/>
  <c r="L1799" i="3" s="1"/>
  <c r="J1800" i="3"/>
  <c r="K1800" i="3" s="1"/>
  <c r="L1800" i="3" s="1"/>
  <c r="J1801" i="3"/>
  <c r="K1801" i="3" s="1"/>
  <c r="L1801" i="3" s="1"/>
  <c r="J1802" i="3"/>
  <c r="K1802" i="3" s="1"/>
  <c r="L1802" i="3" s="1"/>
  <c r="J1803" i="3"/>
  <c r="K1803" i="3" s="1"/>
  <c r="L1803" i="3" s="1"/>
  <c r="J1804" i="3"/>
  <c r="K1804" i="3" s="1"/>
  <c r="L1804" i="3" s="1"/>
  <c r="J1805" i="3"/>
  <c r="K1805" i="3" s="1"/>
  <c r="L1805" i="3" s="1"/>
  <c r="J1806" i="3"/>
  <c r="K1806" i="3" s="1"/>
  <c r="L1806" i="3" s="1"/>
  <c r="J1807" i="3"/>
  <c r="K1807" i="3" s="1"/>
  <c r="L1807" i="3" s="1"/>
  <c r="J1808" i="3"/>
  <c r="K1808" i="3" s="1"/>
  <c r="L1808" i="3" s="1"/>
  <c r="J1797" i="3"/>
  <c r="K1797" i="3" s="1"/>
  <c r="L1797" i="3" s="1"/>
  <c r="K1796" i="3"/>
  <c r="L1796" i="3" s="1"/>
  <c r="K1795" i="3"/>
  <c r="L1795" i="3" s="1"/>
  <c r="K1732" i="3"/>
  <c r="K2" i="3"/>
  <c r="K1794" i="3"/>
  <c r="L1794" i="3" s="1"/>
  <c r="K1793" i="3"/>
  <c r="L1793" i="3" s="1"/>
  <c r="K1785" i="3"/>
  <c r="L1785" i="3" s="1"/>
  <c r="K1786" i="3"/>
  <c r="L1786" i="3" s="1"/>
  <c r="K1787" i="3"/>
  <c r="L1787" i="3" s="1"/>
  <c r="K1788" i="3"/>
  <c r="L1788" i="3" s="1"/>
  <c r="K1789" i="3"/>
  <c r="L1789" i="3" s="1"/>
  <c r="K1790" i="3"/>
  <c r="L1790" i="3" s="1"/>
  <c r="K1791" i="3"/>
  <c r="L1791" i="3" s="1"/>
  <c r="K1792" i="3"/>
  <c r="L1792" i="3" s="1"/>
  <c r="K1784" i="3"/>
  <c r="L1784" i="3" s="1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K1780" i="3"/>
  <c r="L1780" i="3" s="1"/>
  <c r="K1781" i="3"/>
  <c r="L1781" i="3" s="1"/>
  <c r="K1782" i="3"/>
  <c r="L1782" i="3" s="1"/>
  <c r="K1783" i="3"/>
  <c r="L1783" i="3" s="1"/>
  <c r="K1779" i="3"/>
  <c r="L1779" i="3" s="1"/>
  <c r="I1779" i="3"/>
  <c r="I1780" i="3"/>
  <c r="I1781" i="3"/>
  <c r="K1772" i="3"/>
  <c r="L1772" i="3" s="1"/>
  <c r="K1773" i="3"/>
  <c r="L1773" i="3" s="1"/>
  <c r="K1774" i="3"/>
  <c r="L1774" i="3" s="1"/>
  <c r="K1775" i="3"/>
  <c r="L1775" i="3" s="1"/>
  <c r="K1776" i="3"/>
  <c r="L1776" i="3" s="1"/>
  <c r="K1777" i="3"/>
  <c r="L1777" i="3" s="1"/>
  <c r="K1778" i="3"/>
  <c r="L1778" i="3" s="1"/>
  <c r="K1771" i="3"/>
  <c r="L1771" i="3" s="1"/>
  <c r="I1771" i="3"/>
  <c r="I1772" i="3"/>
  <c r="I1773" i="3"/>
  <c r="I1774" i="3"/>
  <c r="I1775" i="3"/>
  <c r="I1776" i="3"/>
  <c r="I1777" i="3"/>
  <c r="I1778" i="3"/>
  <c r="K1742" i="3"/>
  <c r="L1742" i="3" s="1"/>
  <c r="K1743" i="3"/>
  <c r="L1743" i="3" s="1"/>
  <c r="K22" i="3"/>
  <c r="L22" i="3" s="1"/>
  <c r="K20" i="3"/>
  <c r="L20" i="3" s="1"/>
  <c r="K1761" i="3"/>
  <c r="L1761" i="3" s="1"/>
  <c r="K1762" i="3"/>
  <c r="L1762" i="3" s="1"/>
  <c r="K1763" i="3"/>
  <c r="L1763" i="3" s="1"/>
  <c r="K1764" i="3"/>
  <c r="L1764" i="3" s="1"/>
  <c r="K1765" i="3"/>
  <c r="L1765" i="3" s="1"/>
  <c r="K1766" i="3"/>
  <c r="L1766" i="3" s="1"/>
  <c r="K1767" i="3"/>
  <c r="L1767" i="3" s="1"/>
  <c r="K1768" i="3"/>
  <c r="L1768" i="3" s="1"/>
  <c r="K1769" i="3"/>
  <c r="L1769" i="3" s="1"/>
  <c r="K1770" i="3"/>
  <c r="L1770" i="3" s="1"/>
  <c r="K1760" i="3"/>
  <c r="L1760" i="3" s="1"/>
  <c r="K1759" i="3"/>
  <c r="L1759" i="3" s="1"/>
  <c r="K1758" i="3"/>
  <c r="L1758" i="3" s="1"/>
  <c r="I1742" i="3"/>
  <c r="I1743" i="3"/>
  <c r="I1749" i="3"/>
  <c r="I1750" i="3"/>
  <c r="I1751" i="3"/>
  <c r="I1752" i="3"/>
  <c r="I1753" i="3"/>
  <c r="I1754" i="3"/>
  <c r="I1755" i="3"/>
  <c r="I1756" i="3"/>
  <c r="I1757" i="3"/>
  <c r="K1751" i="3"/>
  <c r="L1751" i="3" s="1"/>
  <c r="K1752" i="3"/>
  <c r="L1752" i="3" s="1"/>
  <c r="K1753" i="3"/>
  <c r="L1753" i="3" s="1"/>
  <c r="K1754" i="3"/>
  <c r="L1754" i="3" s="1"/>
  <c r="K1755" i="3"/>
  <c r="L1755" i="3" s="1"/>
  <c r="K1756" i="3"/>
  <c r="L1756" i="3" s="1"/>
  <c r="K1750" i="3"/>
  <c r="L1750" i="3" s="1"/>
  <c r="K1748" i="3"/>
  <c r="L1748" i="3" s="1"/>
  <c r="K1744" i="3"/>
  <c r="L1744" i="3" s="1"/>
  <c r="K1745" i="3"/>
  <c r="L1745" i="3" s="1"/>
  <c r="K1746" i="3"/>
  <c r="L1746" i="3" s="1"/>
  <c r="K1747" i="3"/>
  <c r="L1747" i="3" s="1"/>
  <c r="K1757" i="3"/>
  <c r="L1757" i="3" s="1"/>
  <c r="I1744" i="3"/>
  <c r="I126" i="3"/>
  <c r="I128" i="3"/>
  <c r="I138" i="3"/>
  <c r="I140" i="3"/>
  <c r="I150" i="3"/>
  <c r="I152" i="3"/>
  <c r="I162" i="3"/>
  <c r="I164" i="3"/>
  <c r="I174" i="3"/>
  <c r="I176" i="3"/>
  <c r="I186" i="3"/>
  <c r="I188" i="3"/>
  <c r="I198" i="3"/>
  <c r="I200" i="3"/>
  <c r="I210" i="3"/>
  <c r="I212" i="3"/>
  <c r="I222" i="3"/>
  <c r="I224" i="3"/>
  <c r="I234" i="3"/>
  <c r="I236" i="3"/>
  <c r="I246" i="3"/>
  <c r="I248" i="3"/>
  <c r="I258" i="3"/>
  <c r="I260" i="3"/>
  <c r="I270" i="3"/>
  <c r="I272" i="3"/>
  <c r="I282" i="3"/>
  <c r="I284" i="3"/>
  <c r="I294" i="3"/>
  <c r="I296" i="3"/>
  <c r="I306" i="3"/>
  <c r="I308" i="3"/>
  <c r="I318" i="3"/>
  <c r="I320" i="3"/>
  <c r="I330" i="3"/>
  <c r="I332" i="3"/>
  <c r="I342" i="3"/>
  <c r="I344" i="3"/>
  <c r="I354" i="3"/>
  <c r="I356" i="3"/>
  <c r="I366" i="3"/>
  <c r="I368" i="3"/>
  <c r="I378" i="3"/>
  <c r="I380" i="3"/>
  <c r="I390" i="3"/>
  <c r="I392" i="3"/>
  <c r="I402" i="3"/>
  <c r="I404" i="3"/>
  <c r="I414" i="3"/>
  <c r="I416" i="3"/>
  <c r="I426" i="3"/>
  <c r="I428" i="3"/>
  <c r="I438" i="3"/>
  <c r="I440" i="3"/>
  <c r="I450" i="3"/>
  <c r="I452" i="3"/>
  <c r="I462" i="3"/>
  <c r="I464" i="3"/>
  <c r="I474" i="3"/>
  <c r="I476" i="3"/>
  <c r="I486" i="3"/>
  <c r="I488" i="3"/>
  <c r="I498" i="3"/>
  <c r="I500" i="3"/>
  <c r="I510" i="3"/>
  <c r="I512" i="3"/>
  <c r="I522" i="3"/>
  <c r="I524" i="3"/>
  <c r="I534" i="3"/>
  <c r="I536" i="3"/>
  <c r="I546" i="3"/>
  <c r="I548" i="3"/>
  <c r="I558" i="3"/>
  <c r="I560" i="3"/>
  <c r="I570" i="3"/>
  <c r="I572" i="3"/>
  <c r="I582" i="3"/>
  <c r="I584" i="3"/>
  <c r="I594" i="3"/>
  <c r="I596" i="3"/>
  <c r="I606" i="3"/>
  <c r="I608" i="3"/>
  <c r="I618" i="3"/>
  <c r="I620" i="3"/>
  <c r="I630" i="3"/>
  <c r="I632" i="3"/>
  <c r="I642" i="3"/>
  <c r="I644" i="3"/>
  <c r="I654" i="3"/>
  <c r="I656" i="3"/>
  <c r="I666" i="3"/>
  <c r="I668" i="3"/>
  <c r="I678" i="3"/>
  <c r="I680" i="3"/>
  <c r="I690" i="3"/>
  <c r="I692" i="3"/>
  <c r="I702" i="3"/>
  <c r="I704" i="3"/>
  <c r="I714" i="3"/>
  <c r="I716" i="3"/>
  <c r="I726" i="3"/>
  <c r="I728" i="3"/>
  <c r="I738" i="3"/>
  <c r="I740" i="3"/>
  <c r="I750" i="3"/>
  <c r="I752" i="3"/>
  <c r="I762" i="3"/>
  <c r="I764" i="3"/>
  <c r="I774" i="3"/>
  <c r="I776" i="3"/>
  <c r="I786" i="3"/>
  <c r="I788" i="3"/>
  <c r="I798" i="3"/>
  <c r="I800" i="3"/>
  <c r="I810" i="3"/>
  <c r="I812" i="3"/>
  <c r="I822" i="3"/>
  <c r="I824" i="3"/>
  <c r="I834" i="3"/>
  <c r="I836" i="3"/>
  <c r="I846" i="3"/>
  <c r="I848" i="3"/>
  <c r="I858" i="3"/>
  <c r="I860" i="3"/>
  <c r="I870" i="3"/>
  <c r="I872" i="3"/>
  <c r="I882" i="3"/>
  <c r="I884" i="3"/>
  <c r="I894" i="3"/>
  <c r="I896" i="3"/>
  <c r="I906" i="3"/>
  <c r="I916" i="3"/>
  <c r="I918" i="3"/>
  <c r="I928" i="3"/>
  <c r="I930" i="3"/>
  <c r="I940" i="3"/>
  <c r="I942" i="3"/>
  <c r="I952" i="3"/>
  <c r="I954" i="3"/>
  <c r="I964" i="3"/>
  <c r="I966" i="3"/>
  <c r="I976" i="3"/>
  <c r="I978" i="3"/>
  <c r="I988" i="3"/>
  <c r="I990" i="3"/>
  <c r="I1000" i="3"/>
  <c r="I1002" i="3"/>
  <c r="I1012" i="3"/>
  <c r="I1014" i="3"/>
  <c r="I1024" i="3"/>
  <c r="I1026" i="3"/>
  <c r="I1036" i="3"/>
  <c r="I1038" i="3"/>
  <c r="I1048" i="3"/>
  <c r="I1050" i="3"/>
  <c r="I1060" i="3"/>
  <c r="I1062" i="3"/>
  <c r="I1072" i="3"/>
  <c r="I1074" i="3"/>
  <c r="I1084" i="3"/>
  <c r="I1086" i="3"/>
  <c r="I1096" i="3"/>
  <c r="I1098" i="3"/>
  <c r="I1108" i="3"/>
  <c r="I1110" i="3"/>
  <c r="I1120" i="3"/>
  <c r="I1122" i="3"/>
  <c r="I1132" i="3"/>
  <c r="I1134" i="3"/>
  <c r="I1144" i="3"/>
  <c r="I1146" i="3"/>
  <c r="I1156" i="3"/>
  <c r="I1158" i="3"/>
  <c r="I1168" i="3"/>
  <c r="I1170" i="3"/>
  <c r="I1180" i="3"/>
  <c r="I1182" i="3"/>
  <c r="I1192" i="3"/>
  <c r="I1194" i="3"/>
  <c r="I1204" i="3"/>
  <c r="I1206" i="3"/>
  <c r="I1216" i="3"/>
  <c r="I1218" i="3"/>
  <c r="I1228" i="3"/>
  <c r="I1230" i="3"/>
  <c r="I1240" i="3"/>
  <c r="I1242" i="3"/>
  <c r="I1252" i="3"/>
  <c r="I1254" i="3"/>
  <c r="I1264" i="3"/>
  <c r="I1266" i="3"/>
  <c r="I1276" i="3"/>
  <c r="I1278" i="3"/>
  <c r="I1288" i="3"/>
  <c r="I1290" i="3"/>
  <c r="I1300" i="3"/>
  <c r="I1302" i="3"/>
  <c r="I1312" i="3"/>
  <c r="I1314" i="3"/>
  <c r="I1324" i="3"/>
  <c r="I1326" i="3"/>
  <c r="I1336" i="3"/>
  <c r="I1338" i="3"/>
  <c r="I1348" i="3"/>
  <c r="I1350" i="3"/>
  <c r="I1360" i="3"/>
  <c r="I1362" i="3"/>
  <c r="I1372" i="3"/>
  <c r="I1374" i="3"/>
  <c r="I1384" i="3"/>
  <c r="I1386" i="3"/>
  <c r="I1396" i="3"/>
  <c r="I1398" i="3"/>
  <c r="I1408" i="3"/>
  <c r="I1410" i="3"/>
  <c r="I1420" i="3"/>
  <c r="I1422" i="3"/>
  <c r="I1432" i="3"/>
  <c r="I1434" i="3"/>
  <c r="I1444" i="3"/>
  <c r="I1446" i="3"/>
  <c r="I1456" i="3"/>
  <c r="I1458" i="3"/>
  <c r="I1468" i="3"/>
  <c r="I1470" i="3"/>
  <c r="I1480" i="3"/>
  <c r="I1482" i="3"/>
  <c r="I1492" i="3"/>
  <c r="I1494" i="3"/>
  <c r="I1504" i="3"/>
  <c r="I1506" i="3"/>
  <c r="I1516" i="3"/>
  <c r="I1528" i="3"/>
  <c r="I1530" i="3"/>
  <c r="I1540" i="3"/>
  <c r="I1542" i="3"/>
  <c r="I1552" i="3"/>
  <c r="I1554" i="3"/>
  <c r="I1564" i="3"/>
  <c r="I1566" i="3"/>
  <c r="I1576" i="3"/>
  <c r="I1578" i="3"/>
  <c r="I1588" i="3"/>
  <c r="I1590" i="3"/>
  <c r="I1600" i="3"/>
  <c r="I1602" i="3"/>
  <c r="I1612" i="3"/>
  <c r="I1614" i="3"/>
  <c r="I1624" i="3"/>
  <c r="I1626" i="3"/>
  <c r="I1636" i="3"/>
  <c r="I1638" i="3"/>
  <c r="I1648" i="3"/>
  <c r="I1650" i="3"/>
  <c r="I1660" i="3"/>
  <c r="I1662" i="3"/>
  <c r="I1672" i="3"/>
  <c r="I1674" i="3"/>
  <c r="I1684" i="3"/>
  <c r="I1686" i="3"/>
  <c r="I1696" i="3"/>
  <c r="I1698" i="3"/>
  <c r="I112" i="3"/>
  <c r="I113" i="3"/>
  <c r="I114" i="3"/>
  <c r="I116" i="3"/>
  <c r="I115" i="3"/>
  <c r="I117" i="3"/>
  <c r="I118" i="3"/>
  <c r="I119" i="3"/>
  <c r="I120" i="3"/>
  <c r="I110" i="3"/>
  <c r="I2" i="3"/>
  <c r="I174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1" i="3"/>
  <c r="I121" i="3"/>
  <c r="I122" i="3"/>
  <c r="I123" i="3"/>
  <c r="I124" i="3"/>
  <c r="I125" i="3"/>
  <c r="I127" i="3"/>
  <c r="I129" i="3"/>
  <c r="I130" i="3"/>
  <c r="I131" i="3"/>
  <c r="I132" i="3"/>
  <c r="I133" i="3"/>
  <c r="I134" i="3"/>
  <c r="I135" i="3"/>
  <c r="I136" i="3"/>
  <c r="I137" i="3"/>
  <c r="I139" i="3"/>
  <c r="I141" i="3"/>
  <c r="I142" i="3"/>
  <c r="I143" i="3"/>
  <c r="I144" i="3"/>
  <c r="I145" i="3"/>
  <c r="I146" i="3"/>
  <c r="I147" i="3"/>
  <c r="I148" i="3"/>
  <c r="I149" i="3"/>
  <c r="I151" i="3"/>
  <c r="I153" i="3"/>
  <c r="I154" i="3"/>
  <c r="I155" i="3"/>
  <c r="I156" i="3"/>
  <c r="I157" i="3"/>
  <c r="I158" i="3"/>
  <c r="I159" i="3"/>
  <c r="I160" i="3"/>
  <c r="I161" i="3"/>
  <c r="I163" i="3"/>
  <c r="I165" i="3"/>
  <c r="I166" i="3"/>
  <c r="I167" i="3"/>
  <c r="I168" i="3"/>
  <c r="I169" i="3"/>
  <c r="I170" i="3"/>
  <c r="I171" i="3"/>
  <c r="I172" i="3"/>
  <c r="I173" i="3"/>
  <c r="I175" i="3"/>
  <c r="I177" i="3"/>
  <c r="I178" i="3"/>
  <c r="I179" i="3"/>
  <c r="I180" i="3"/>
  <c r="I181" i="3"/>
  <c r="I182" i="3"/>
  <c r="I183" i="3"/>
  <c r="I184" i="3"/>
  <c r="I185" i="3"/>
  <c r="I187" i="3"/>
  <c r="I189" i="3"/>
  <c r="I190" i="3"/>
  <c r="I191" i="3"/>
  <c r="I192" i="3"/>
  <c r="I193" i="3"/>
  <c r="I194" i="3"/>
  <c r="I195" i="3"/>
  <c r="I196" i="3"/>
  <c r="I197" i="3"/>
  <c r="I199" i="3"/>
  <c r="I201" i="3"/>
  <c r="I202" i="3"/>
  <c r="I203" i="3"/>
  <c r="I204" i="3"/>
  <c r="I205" i="3"/>
  <c r="I206" i="3"/>
  <c r="I207" i="3"/>
  <c r="I208" i="3"/>
  <c r="I209" i="3"/>
  <c r="I211" i="3"/>
  <c r="I213" i="3"/>
  <c r="I214" i="3"/>
  <c r="I215" i="3"/>
  <c r="I216" i="3"/>
  <c r="I217" i="3"/>
  <c r="I218" i="3"/>
  <c r="I219" i="3"/>
  <c r="I220" i="3"/>
  <c r="I221" i="3"/>
  <c r="I223" i="3"/>
  <c r="I225" i="3"/>
  <c r="I226" i="3"/>
  <c r="I227" i="3"/>
  <c r="I228" i="3"/>
  <c r="I229" i="3"/>
  <c r="I230" i="3"/>
  <c r="I231" i="3"/>
  <c r="I232" i="3"/>
  <c r="I233" i="3"/>
  <c r="I235" i="3"/>
  <c r="I237" i="3"/>
  <c r="I238" i="3"/>
  <c r="I239" i="3"/>
  <c r="I240" i="3"/>
  <c r="I241" i="3"/>
  <c r="I242" i="3"/>
  <c r="I243" i="3"/>
  <c r="I244" i="3"/>
  <c r="I245" i="3"/>
  <c r="I247" i="3"/>
  <c r="I249" i="3"/>
  <c r="I250" i="3"/>
  <c r="I251" i="3"/>
  <c r="I252" i="3"/>
  <c r="I253" i="3"/>
  <c r="I254" i="3"/>
  <c r="I255" i="3"/>
  <c r="I256" i="3"/>
  <c r="I257" i="3"/>
  <c r="I259" i="3"/>
  <c r="I261" i="3"/>
  <c r="I262" i="3"/>
  <c r="I263" i="3"/>
  <c r="I264" i="3"/>
  <c r="I265" i="3"/>
  <c r="I266" i="3"/>
  <c r="I267" i="3"/>
  <c r="I268" i="3"/>
  <c r="I269" i="3"/>
  <c r="I271" i="3"/>
  <c r="I273" i="3"/>
  <c r="I274" i="3"/>
  <c r="I275" i="3"/>
  <c r="I276" i="3"/>
  <c r="I277" i="3"/>
  <c r="I278" i="3"/>
  <c r="I279" i="3"/>
  <c r="I280" i="3"/>
  <c r="I281" i="3"/>
  <c r="I283" i="3"/>
  <c r="I285" i="3"/>
  <c r="I286" i="3"/>
  <c r="I287" i="3"/>
  <c r="I288" i="3"/>
  <c r="I289" i="3"/>
  <c r="I290" i="3"/>
  <c r="I291" i="3"/>
  <c r="I292" i="3"/>
  <c r="I293" i="3"/>
  <c r="I295" i="3"/>
  <c r="I297" i="3"/>
  <c r="I298" i="3"/>
  <c r="I299" i="3"/>
  <c r="I300" i="3"/>
  <c r="I301" i="3"/>
  <c r="I302" i="3"/>
  <c r="I303" i="3"/>
  <c r="I304" i="3"/>
  <c r="I305" i="3"/>
  <c r="I307" i="3"/>
  <c r="I309" i="3"/>
  <c r="I310" i="3"/>
  <c r="I311" i="3"/>
  <c r="I312" i="3"/>
  <c r="I313" i="3"/>
  <c r="I314" i="3"/>
  <c r="I315" i="3"/>
  <c r="I316" i="3"/>
  <c r="I317" i="3"/>
  <c r="I319" i="3"/>
  <c r="I321" i="3"/>
  <c r="I322" i="3"/>
  <c r="I323" i="3"/>
  <c r="I324" i="3"/>
  <c r="I325" i="3"/>
  <c r="I326" i="3"/>
  <c r="I327" i="3"/>
  <c r="I328" i="3"/>
  <c r="I329" i="3"/>
  <c r="I331" i="3"/>
  <c r="I333" i="3"/>
  <c r="I334" i="3"/>
  <c r="I335" i="3"/>
  <c r="I336" i="3"/>
  <c r="I337" i="3"/>
  <c r="I338" i="3"/>
  <c r="I339" i="3"/>
  <c r="I340" i="3"/>
  <c r="I341" i="3"/>
  <c r="I343" i="3"/>
  <c r="I345" i="3"/>
  <c r="I346" i="3"/>
  <c r="I347" i="3"/>
  <c r="I348" i="3"/>
  <c r="I349" i="3"/>
  <c r="I350" i="3"/>
  <c r="I351" i="3"/>
  <c r="I352" i="3"/>
  <c r="I353" i="3"/>
  <c r="I355" i="3"/>
  <c r="I357" i="3"/>
  <c r="I358" i="3"/>
  <c r="I359" i="3"/>
  <c r="I360" i="3"/>
  <c r="I361" i="3"/>
  <c r="I362" i="3"/>
  <c r="I363" i="3"/>
  <c r="I364" i="3"/>
  <c r="I365" i="3"/>
  <c r="I367" i="3"/>
  <c r="I369" i="3"/>
  <c r="I370" i="3"/>
  <c r="I371" i="3"/>
  <c r="I372" i="3"/>
  <c r="I373" i="3"/>
  <c r="I374" i="3"/>
  <c r="I375" i="3"/>
  <c r="I376" i="3"/>
  <c r="I377" i="3"/>
  <c r="I379" i="3"/>
  <c r="I381" i="3"/>
  <c r="I382" i="3"/>
  <c r="I383" i="3"/>
  <c r="I384" i="3"/>
  <c r="I385" i="3"/>
  <c r="I386" i="3"/>
  <c r="I387" i="3"/>
  <c r="I388" i="3"/>
  <c r="I389" i="3"/>
  <c r="I391" i="3"/>
  <c r="I393" i="3"/>
  <c r="I394" i="3"/>
  <c r="I395" i="3"/>
  <c r="I396" i="3"/>
  <c r="I397" i="3"/>
  <c r="I398" i="3"/>
  <c r="I399" i="3"/>
  <c r="I400" i="3"/>
  <c r="I401" i="3"/>
  <c r="I403" i="3"/>
  <c r="I405" i="3"/>
  <c r="I406" i="3"/>
  <c r="I407" i="3"/>
  <c r="I408" i="3"/>
  <c r="I409" i="3"/>
  <c r="I410" i="3"/>
  <c r="I411" i="3"/>
  <c r="I412" i="3"/>
  <c r="I413" i="3"/>
  <c r="I415" i="3"/>
  <c r="I417" i="3"/>
  <c r="I418" i="3"/>
  <c r="I419" i="3"/>
  <c r="I420" i="3"/>
  <c r="I421" i="3"/>
  <c r="I422" i="3"/>
  <c r="I423" i="3"/>
  <c r="I424" i="3"/>
  <c r="I425" i="3"/>
  <c r="I427" i="3"/>
  <c r="I429" i="3"/>
  <c r="I430" i="3"/>
  <c r="I431" i="3"/>
  <c r="I432" i="3"/>
  <c r="I433" i="3"/>
  <c r="I434" i="3"/>
  <c r="I435" i="3"/>
  <c r="I436" i="3"/>
  <c r="I437" i="3"/>
  <c r="I439" i="3"/>
  <c r="I441" i="3"/>
  <c r="I442" i="3"/>
  <c r="I443" i="3"/>
  <c r="I444" i="3"/>
  <c r="I445" i="3"/>
  <c r="I446" i="3"/>
  <c r="I447" i="3"/>
  <c r="I448" i="3"/>
  <c r="I449" i="3"/>
  <c r="I451" i="3"/>
  <c r="I453" i="3"/>
  <c r="I454" i="3"/>
  <c r="I455" i="3"/>
  <c r="I456" i="3"/>
  <c r="I457" i="3"/>
  <c r="I458" i="3"/>
  <c r="I459" i="3"/>
  <c r="I460" i="3"/>
  <c r="I461" i="3"/>
  <c r="I463" i="3"/>
  <c r="I465" i="3"/>
  <c r="I466" i="3"/>
  <c r="I467" i="3"/>
  <c r="I468" i="3"/>
  <c r="I469" i="3"/>
  <c r="I470" i="3"/>
  <c r="I471" i="3"/>
  <c r="I472" i="3"/>
  <c r="I473" i="3"/>
  <c r="I475" i="3"/>
  <c r="I477" i="3"/>
  <c r="I478" i="3"/>
  <c r="I479" i="3"/>
  <c r="I480" i="3"/>
  <c r="I481" i="3"/>
  <c r="I482" i="3"/>
  <c r="I483" i="3"/>
  <c r="I484" i="3"/>
  <c r="I485" i="3"/>
  <c r="I487" i="3"/>
  <c r="I489" i="3"/>
  <c r="I490" i="3"/>
  <c r="I491" i="3"/>
  <c r="I492" i="3"/>
  <c r="I493" i="3"/>
  <c r="I494" i="3"/>
  <c r="I495" i="3"/>
  <c r="I496" i="3"/>
  <c r="I497" i="3"/>
  <c r="I499" i="3"/>
  <c r="I501" i="3"/>
  <c r="I502" i="3"/>
  <c r="I503" i="3"/>
  <c r="I504" i="3"/>
  <c r="I505" i="3"/>
  <c r="I506" i="3"/>
  <c r="I507" i="3"/>
  <c r="I508" i="3"/>
  <c r="I509" i="3"/>
  <c r="I511" i="3"/>
  <c r="I513" i="3"/>
  <c r="I514" i="3"/>
  <c r="I515" i="3"/>
  <c r="I516" i="3"/>
  <c r="I517" i="3"/>
  <c r="I518" i="3"/>
  <c r="I519" i="3"/>
  <c r="I520" i="3"/>
  <c r="I521" i="3"/>
  <c r="I523" i="3"/>
  <c r="I525" i="3"/>
  <c r="I526" i="3"/>
  <c r="I527" i="3"/>
  <c r="I528" i="3"/>
  <c r="I529" i="3"/>
  <c r="I530" i="3"/>
  <c r="I531" i="3"/>
  <c r="I532" i="3"/>
  <c r="I533" i="3"/>
  <c r="I535" i="3"/>
  <c r="I537" i="3"/>
  <c r="I538" i="3"/>
  <c r="I539" i="3"/>
  <c r="I540" i="3"/>
  <c r="I541" i="3"/>
  <c r="I542" i="3"/>
  <c r="I543" i="3"/>
  <c r="I544" i="3"/>
  <c r="I545" i="3"/>
  <c r="I547" i="3"/>
  <c r="I549" i="3"/>
  <c r="I550" i="3"/>
  <c r="I551" i="3"/>
  <c r="I552" i="3"/>
  <c r="I553" i="3"/>
  <c r="I554" i="3"/>
  <c r="I555" i="3"/>
  <c r="I556" i="3"/>
  <c r="I557" i="3"/>
  <c r="I559" i="3"/>
  <c r="I561" i="3"/>
  <c r="I562" i="3"/>
  <c r="I563" i="3"/>
  <c r="I564" i="3"/>
  <c r="I565" i="3"/>
  <c r="I566" i="3"/>
  <c r="I567" i="3"/>
  <c r="I568" i="3"/>
  <c r="I569" i="3"/>
  <c r="I571" i="3"/>
  <c r="I573" i="3"/>
  <c r="I574" i="3"/>
  <c r="I575" i="3"/>
  <c r="I576" i="3"/>
  <c r="I577" i="3"/>
  <c r="I578" i="3"/>
  <c r="I579" i="3"/>
  <c r="I580" i="3"/>
  <c r="I581" i="3"/>
  <c r="I583" i="3"/>
  <c r="I585" i="3"/>
  <c r="I586" i="3"/>
  <c r="I587" i="3"/>
  <c r="I588" i="3"/>
  <c r="I589" i="3"/>
  <c r="I590" i="3"/>
  <c r="I591" i="3"/>
  <c r="I592" i="3"/>
  <c r="I593" i="3"/>
  <c r="I595" i="3"/>
  <c r="I597" i="3"/>
  <c r="I598" i="3"/>
  <c r="I599" i="3"/>
  <c r="I600" i="3"/>
  <c r="I601" i="3"/>
  <c r="I602" i="3"/>
  <c r="I603" i="3"/>
  <c r="I604" i="3"/>
  <c r="I605" i="3"/>
  <c r="I607" i="3"/>
  <c r="I609" i="3"/>
  <c r="I610" i="3"/>
  <c r="I611" i="3"/>
  <c r="I612" i="3"/>
  <c r="I613" i="3"/>
  <c r="I614" i="3"/>
  <c r="I615" i="3"/>
  <c r="I616" i="3"/>
  <c r="I617" i="3"/>
  <c r="I619" i="3"/>
  <c r="I621" i="3"/>
  <c r="I622" i="3"/>
  <c r="I623" i="3"/>
  <c r="I624" i="3"/>
  <c r="I625" i="3"/>
  <c r="I626" i="3"/>
  <c r="I627" i="3"/>
  <c r="I628" i="3"/>
  <c r="I629" i="3"/>
  <c r="I631" i="3"/>
  <c r="I633" i="3"/>
  <c r="I634" i="3"/>
  <c r="I635" i="3"/>
  <c r="I636" i="3"/>
  <c r="I637" i="3"/>
  <c r="I638" i="3"/>
  <c r="I639" i="3"/>
  <c r="I640" i="3"/>
  <c r="I641" i="3"/>
  <c r="I643" i="3"/>
  <c r="I645" i="3"/>
  <c r="I646" i="3"/>
  <c r="I647" i="3"/>
  <c r="I648" i="3"/>
  <c r="I649" i="3"/>
  <c r="I650" i="3"/>
  <c r="I651" i="3"/>
  <c r="I652" i="3"/>
  <c r="I653" i="3"/>
  <c r="I655" i="3"/>
  <c r="I657" i="3"/>
  <c r="I658" i="3"/>
  <c r="I659" i="3"/>
  <c r="I660" i="3"/>
  <c r="I661" i="3"/>
  <c r="I662" i="3"/>
  <c r="I663" i="3"/>
  <c r="I664" i="3"/>
  <c r="I665" i="3"/>
  <c r="I667" i="3"/>
  <c r="I669" i="3"/>
  <c r="I670" i="3"/>
  <c r="I671" i="3"/>
  <c r="I672" i="3"/>
  <c r="I673" i="3"/>
  <c r="I674" i="3"/>
  <c r="I675" i="3"/>
  <c r="I676" i="3"/>
  <c r="I677" i="3"/>
  <c r="I679" i="3"/>
  <c r="I681" i="3"/>
  <c r="I682" i="3"/>
  <c r="I683" i="3"/>
  <c r="I684" i="3"/>
  <c r="I685" i="3"/>
  <c r="I686" i="3"/>
  <c r="I687" i="3"/>
  <c r="I688" i="3"/>
  <c r="I689" i="3"/>
  <c r="I691" i="3"/>
  <c r="I693" i="3"/>
  <c r="I694" i="3"/>
  <c r="I695" i="3"/>
  <c r="I696" i="3"/>
  <c r="I697" i="3"/>
  <c r="I698" i="3"/>
  <c r="I699" i="3"/>
  <c r="I700" i="3"/>
  <c r="I701" i="3"/>
  <c r="I703" i="3"/>
  <c r="I705" i="3"/>
  <c r="I706" i="3"/>
  <c r="I707" i="3"/>
  <c r="I708" i="3"/>
  <c r="I709" i="3"/>
  <c r="I710" i="3"/>
  <c r="I711" i="3"/>
  <c r="I712" i="3"/>
  <c r="I713" i="3"/>
  <c r="I715" i="3"/>
  <c r="I717" i="3"/>
  <c r="I718" i="3"/>
  <c r="I719" i="3"/>
  <c r="I720" i="3"/>
  <c r="I721" i="3"/>
  <c r="I722" i="3"/>
  <c r="I723" i="3"/>
  <c r="I724" i="3"/>
  <c r="I725" i="3"/>
  <c r="I727" i="3"/>
  <c r="I729" i="3"/>
  <c r="I730" i="3"/>
  <c r="I731" i="3"/>
  <c r="I732" i="3"/>
  <c r="I733" i="3"/>
  <c r="I734" i="3"/>
  <c r="I735" i="3"/>
  <c r="I736" i="3"/>
  <c r="I737" i="3"/>
  <c r="I739" i="3"/>
  <c r="I741" i="3"/>
  <c r="I742" i="3"/>
  <c r="I743" i="3"/>
  <c r="I744" i="3"/>
  <c r="I745" i="3"/>
  <c r="I746" i="3"/>
  <c r="I747" i="3"/>
  <c r="I748" i="3"/>
  <c r="I749" i="3"/>
  <c r="I751" i="3"/>
  <c r="I753" i="3"/>
  <c r="I754" i="3"/>
  <c r="I755" i="3"/>
  <c r="I756" i="3"/>
  <c r="I757" i="3"/>
  <c r="I758" i="3"/>
  <c r="I759" i="3"/>
  <c r="I760" i="3"/>
  <c r="I761" i="3"/>
  <c r="I763" i="3"/>
  <c r="I765" i="3"/>
  <c r="I766" i="3"/>
  <c r="I767" i="3"/>
  <c r="I768" i="3"/>
  <c r="I769" i="3"/>
  <c r="I770" i="3"/>
  <c r="I771" i="3"/>
  <c r="I772" i="3"/>
  <c r="I773" i="3"/>
  <c r="I775" i="3"/>
  <c r="I777" i="3"/>
  <c r="I778" i="3"/>
  <c r="I779" i="3"/>
  <c r="I780" i="3"/>
  <c r="I781" i="3"/>
  <c r="I782" i="3"/>
  <c r="I783" i="3"/>
  <c r="I784" i="3"/>
  <c r="I785" i="3"/>
  <c r="I787" i="3"/>
  <c r="I789" i="3"/>
  <c r="I790" i="3"/>
  <c r="I791" i="3"/>
  <c r="I792" i="3"/>
  <c r="I793" i="3"/>
  <c r="I794" i="3"/>
  <c r="I795" i="3"/>
  <c r="I796" i="3"/>
  <c r="I797" i="3"/>
  <c r="I799" i="3"/>
  <c r="I801" i="3"/>
  <c r="I802" i="3"/>
  <c r="I803" i="3"/>
  <c r="I804" i="3"/>
  <c r="I805" i="3"/>
  <c r="I806" i="3"/>
  <c r="I807" i="3"/>
  <c r="I808" i="3"/>
  <c r="I809" i="3"/>
  <c r="I811" i="3"/>
  <c r="I813" i="3"/>
  <c r="I814" i="3"/>
  <c r="I815" i="3"/>
  <c r="I816" i="3"/>
  <c r="I817" i="3"/>
  <c r="I818" i="3"/>
  <c r="I819" i="3"/>
  <c r="I820" i="3"/>
  <c r="I821" i="3"/>
  <c r="I823" i="3"/>
  <c r="I825" i="3"/>
  <c r="I826" i="3"/>
  <c r="I827" i="3"/>
  <c r="I828" i="3"/>
  <c r="I829" i="3"/>
  <c r="I830" i="3"/>
  <c r="I831" i="3"/>
  <c r="I832" i="3"/>
  <c r="I833" i="3"/>
  <c r="I835" i="3"/>
  <c r="I837" i="3"/>
  <c r="I838" i="3"/>
  <c r="I839" i="3"/>
  <c r="I840" i="3"/>
  <c r="I841" i="3"/>
  <c r="I842" i="3"/>
  <c r="I843" i="3"/>
  <c r="I844" i="3"/>
  <c r="I845" i="3"/>
  <c r="I847" i="3"/>
  <c r="I849" i="3"/>
  <c r="I850" i="3"/>
  <c r="I851" i="3"/>
  <c r="I852" i="3"/>
  <c r="I853" i="3"/>
  <c r="I854" i="3"/>
  <c r="I855" i="3"/>
  <c r="I856" i="3"/>
  <c r="I857" i="3"/>
  <c r="I859" i="3"/>
  <c r="I861" i="3"/>
  <c r="I862" i="3"/>
  <c r="I863" i="3"/>
  <c r="I864" i="3"/>
  <c r="I865" i="3"/>
  <c r="I866" i="3"/>
  <c r="I867" i="3"/>
  <c r="I868" i="3"/>
  <c r="I869" i="3"/>
  <c r="I871" i="3"/>
  <c r="I873" i="3"/>
  <c r="I874" i="3"/>
  <c r="I875" i="3"/>
  <c r="I876" i="3"/>
  <c r="I877" i="3"/>
  <c r="I878" i="3"/>
  <c r="I879" i="3"/>
  <c r="I880" i="3"/>
  <c r="I881" i="3"/>
  <c r="I883" i="3"/>
  <c r="I885" i="3"/>
  <c r="I886" i="3"/>
  <c r="I887" i="3"/>
  <c r="I888" i="3"/>
  <c r="I889" i="3"/>
  <c r="I890" i="3"/>
  <c r="I891" i="3"/>
  <c r="I892" i="3"/>
  <c r="I893" i="3"/>
  <c r="I895" i="3"/>
  <c r="I897" i="3"/>
  <c r="I898" i="3"/>
  <c r="I899" i="3"/>
  <c r="I900" i="3"/>
  <c r="I901" i="3"/>
  <c r="I902" i="3"/>
  <c r="I903" i="3"/>
  <c r="I904" i="3"/>
  <c r="I905" i="3"/>
  <c r="I907" i="3"/>
  <c r="I908" i="3"/>
  <c r="I909" i="3"/>
  <c r="I910" i="3"/>
  <c r="I911" i="3"/>
  <c r="I912" i="3"/>
  <c r="I913" i="3"/>
  <c r="I914" i="3"/>
  <c r="I915" i="3"/>
  <c r="I917" i="3"/>
  <c r="I919" i="3"/>
  <c r="I920" i="3"/>
  <c r="I921" i="3"/>
  <c r="I922" i="3"/>
  <c r="I923" i="3"/>
  <c r="I924" i="3"/>
  <c r="I925" i="3"/>
  <c r="I926" i="3"/>
  <c r="I927" i="3"/>
  <c r="I929" i="3"/>
  <c r="I931" i="3"/>
  <c r="I932" i="3"/>
  <c r="I933" i="3"/>
  <c r="I934" i="3"/>
  <c r="I935" i="3"/>
  <c r="I936" i="3"/>
  <c r="I937" i="3"/>
  <c r="I938" i="3"/>
  <c r="I939" i="3"/>
  <c r="I941" i="3"/>
  <c r="I943" i="3"/>
  <c r="I944" i="3"/>
  <c r="I945" i="3"/>
  <c r="I946" i="3"/>
  <c r="I947" i="3"/>
  <c r="I948" i="3"/>
  <c r="I949" i="3"/>
  <c r="I950" i="3"/>
  <c r="I951" i="3"/>
  <c r="I953" i="3"/>
  <c r="I955" i="3"/>
  <c r="I956" i="3"/>
  <c r="I957" i="3"/>
  <c r="I958" i="3"/>
  <c r="I959" i="3"/>
  <c r="I960" i="3"/>
  <c r="I961" i="3"/>
  <c r="I962" i="3"/>
  <c r="I963" i="3"/>
  <c r="I965" i="3"/>
  <c r="I967" i="3"/>
  <c r="I968" i="3"/>
  <c r="I969" i="3"/>
  <c r="I970" i="3"/>
  <c r="I971" i="3"/>
  <c r="I972" i="3"/>
  <c r="I973" i="3"/>
  <c r="I974" i="3"/>
  <c r="I975" i="3"/>
  <c r="I977" i="3"/>
  <c r="I979" i="3"/>
  <c r="I980" i="3"/>
  <c r="I981" i="3"/>
  <c r="I982" i="3"/>
  <c r="I983" i="3"/>
  <c r="I984" i="3"/>
  <c r="I985" i="3"/>
  <c r="I986" i="3"/>
  <c r="I987" i="3"/>
  <c r="I989" i="3"/>
  <c r="I991" i="3"/>
  <c r="I992" i="3"/>
  <c r="I993" i="3"/>
  <c r="I994" i="3"/>
  <c r="I995" i="3"/>
  <c r="I996" i="3"/>
  <c r="I997" i="3"/>
  <c r="I998" i="3"/>
  <c r="I999" i="3"/>
  <c r="I1001" i="3"/>
  <c r="I1003" i="3"/>
  <c r="I1004" i="3"/>
  <c r="I1005" i="3"/>
  <c r="I1006" i="3"/>
  <c r="I1007" i="3"/>
  <c r="I1008" i="3"/>
  <c r="I1009" i="3"/>
  <c r="I1010" i="3"/>
  <c r="I1011" i="3"/>
  <c r="I1013" i="3"/>
  <c r="I1015" i="3"/>
  <c r="I1016" i="3"/>
  <c r="I1017" i="3"/>
  <c r="I1018" i="3"/>
  <c r="I1019" i="3"/>
  <c r="I1020" i="3"/>
  <c r="I1021" i="3"/>
  <c r="I1022" i="3"/>
  <c r="I1023" i="3"/>
  <c r="I1025" i="3"/>
  <c r="I1027" i="3"/>
  <c r="I1028" i="3"/>
  <c r="I1029" i="3"/>
  <c r="I1030" i="3"/>
  <c r="I1031" i="3"/>
  <c r="I1032" i="3"/>
  <c r="I1033" i="3"/>
  <c r="I1034" i="3"/>
  <c r="I1035" i="3"/>
  <c r="I1037" i="3"/>
  <c r="I1039" i="3"/>
  <c r="I1040" i="3"/>
  <c r="I1041" i="3"/>
  <c r="I1042" i="3"/>
  <c r="I1043" i="3"/>
  <c r="I1044" i="3"/>
  <c r="I1045" i="3"/>
  <c r="I1046" i="3"/>
  <c r="I1047" i="3"/>
  <c r="I1049" i="3"/>
  <c r="I1051" i="3"/>
  <c r="I1052" i="3"/>
  <c r="I1053" i="3"/>
  <c r="I1054" i="3"/>
  <c r="I1055" i="3"/>
  <c r="I1056" i="3"/>
  <c r="I1057" i="3"/>
  <c r="I1058" i="3"/>
  <c r="I1059" i="3"/>
  <c r="I1061" i="3"/>
  <c r="I1063" i="3"/>
  <c r="I1064" i="3"/>
  <c r="I1065" i="3"/>
  <c r="I1066" i="3"/>
  <c r="I1067" i="3"/>
  <c r="I1068" i="3"/>
  <c r="I1069" i="3"/>
  <c r="I1070" i="3"/>
  <c r="I1071" i="3"/>
  <c r="I1073" i="3"/>
  <c r="I1075" i="3"/>
  <c r="I1076" i="3"/>
  <c r="I1077" i="3"/>
  <c r="I1078" i="3"/>
  <c r="I1079" i="3"/>
  <c r="I1080" i="3"/>
  <c r="I1081" i="3"/>
  <c r="I1082" i="3"/>
  <c r="I1083" i="3"/>
  <c r="I1085" i="3"/>
  <c r="I1087" i="3"/>
  <c r="I1088" i="3"/>
  <c r="I1089" i="3"/>
  <c r="I1090" i="3"/>
  <c r="I1091" i="3"/>
  <c r="I1092" i="3"/>
  <c r="I1093" i="3"/>
  <c r="I1094" i="3"/>
  <c r="I1095" i="3"/>
  <c r="I1097" i="3"/>
  <c r="I1099" i="3"/>
  <c r="I1100" i="3"/>
  <c r="I1101" i="3"/>
  <c r="I1102" i="3"/>
  <c r="I1103" i="3"/>
  <c r="I1104" i="3"/>
  <c r="I1105" i="3"/>
  <c r="I1106" i="3"/>
  <c r="I1107" i="3"/>
  <c r="I1109" i="3"/>
  <c r="I1111" i="3"/>
  <c r="I1112" i="3"/>
  <c r="I1113" i="3"/>
  <c r="I1114" i="3"/>
  <c r="I1115" i="3"/>
  <c r="I1116" i="3"/>
  <c r="I1117" i="3"/>
  <c r="I1118" i="3"/>
  <c r="I1119" i="3"/>
  <c r="I1121" i="3"/>
  <c r="I1123" i="3"/>
  <c r="I1124" i="3"/>
  <c r="I1125" i="3"/>
  <c r="I1126" i="3"/>
  <c r="I1127" i="3"/>
  <c r="I1128" i="3"/>
  <c r="I1129" i="3"/>
  <c r="I1130" i="3"/>
  <c r="I1131" i="3"/>
  <c r="I1133" i="3"/>
  <c r="I1135" i="3"/>
  <c r="I1136" i="3"/>
  <c r="I1137" i="3"/>
  <c r="I1138" i="3"/>
  <c r="I1139" i="3"/>
  <c r="I1140" i="3"/>
  <c r="I1141" i="3"/>
  <c r="I1142" i="3"/>
  <c r="I1143" i="3"/>
  <c r="I1145" i="3"/>
  <c r="I1147" i="3"/>
  <c r="I1148" i="3"/>
  <c r="I1149" i="3"/>
  <c r="I1150" i="3"/>
  <c r="I1151" i="3"/>
  <c r="I1152" i="3"/>
  <c r="I1153" i="3"/>
  <c r="I1154" i="3"/>
  <c r="I1155" i="3"/>
  <c r="I1157" i="3"/>
  <c r="I1159" i="3"/>
  <c r="I1160" i="3"/>
  <c r="I1161" i="3"/>
  <c r="I1162" i="3"/>
  <c r="I1163" i="3"/>
  <c r="I1164" i="3"/>
  <c r="I1165" i="3"/>
  <c r="I1166" i="3"/>
  <c r="I1167" i="3"/>
  <c r="I1169" i="3"/>
  <c r="I1171" i="3"/>
  <c r="I1172" i="3"/>
  <c r="I1173" i="3"/>
  <c r="I1174" i="3"/>
  <c r="I1175" i="3"/>
  <c r="I1176" i="3"/>
  <c r="I1177" i="3"/>
  <c r="I1178" i="3"/>
  <c r="I1179" i="3"/>
  <c r="I1181" i="3"/>
  <c r="I1183" i="3"/>
  <c r="I1184" i="3"/>
  <c r="I1185" i="3"/>
  <c r="I1186" i="3"/>
  <c r="I1187" i="3"/>
  <c r="I1188" i="3"/>
  <c r="I1189" i="3"/>
  <c r="I1190" i="3"/>
  <c r="I1191" i="3"/>
  <c r="I1193" i="3"/>
  <c r="I1195" i="3"/>
  <c r="I1196" i="3"/>
  <c r="I1197" i="3"/>
  <c r="I1198" i="3"/>
  <c r="I1199" i="3"/>
  <c r="I1200" i="3"/>
  <c r="I1201" i="3"/>
  <c r="I1202" i="3"/>
  <c r="I1203" i="3"/>
  <c r="I1205" i="3"/>
  <c r="I1207" i="3"/>
  <c r="I1208" i="3"/>
  <c r="I1209" i="3"/>
  <c r="I1210" i="3"/>
  <c r="I1211" i="3"/>
  <c r="I1212" i="3"/>
  <c r="I1213" i="3"/>
  <c r="I1214" i="3"/>
  <c r="I1215" i="3"/>
  <c r="I1217" i="3"/>
  <c r="I1219" i="3"/>
  <c r="I1220" i="3"/>
  <c r="I1221" i="3"/>
  <c r="I1222" i="3"/>
  <c r="I1223" i="3"/>
  <c r="I1224" i="3"/>
  <c r="I1225" i="3"/>
  <c r="I1226" i="3"/>
  <c r="I1227" i="3"/>
  <c r="I1229" i="3"/>
  <c r="I1231" i="3"/>
  <c r="I1232" i="3"/>
  <c r="I1233" i="3"/>
  <c r="I1234" i="3"/>
  <c r="I1235" i="3"/>
  <c r="I1236" i="3"/>
  <c r="I1237" i="3"/>
  <c r="I1238" i="3"/>
  <c r="I1239" i="3"/>
  <c r="I1241" i="3"/>
  <c r="I1243" i="3"/>
  <c r="I1244" i="3"/>
  <c r="I1245" i="3"/>
  <c r="I1246" i="3"/>
  <c r="I1247" i="3"/>
  <c r="I1248" i="3"/>
  <c r="I1249" i="3"/>
  <c r="I1250" i="3"/>
  <c r="I1251" i="3"/>
  <c r="I1253" i="3"/>
  <c r="I1255" i="3"/>
  <c r="I1256" i="3"/>
  <c r="I1257" i="3"/>
  <c r="I1258" i="3"/>
  <c r="I1259" i="3"/>
  <c r="I1260" i="3"/>
  <c r="I1261" i="3"/>
  <c r="I1262" i="3"/>
  <c r="I1263" i="3"/>
  <c r="I1265" i="3"/>
  <c r="I1267" i="3"/>
  <c r="I1268" i="3"/>
  <c r="I1269" i="3"/>
  <c r="I1270" i="3"/>
  <c r="I1271" i="3"/>
  <c r="I1272" i="3"/>
  <c r="I1273" i="3"/>
  <c r="I1274" i="3"/>
  <c r="I1275" i="3"/>
  <c r="I1277" i="3"/>
  <c r="I1279" i="3"/>
  <c r="I1280" i="3"/>
  <c r="I1281" i="3"/>
  <c r="I1282" i="3"/>
  <c r="I1283" i="3"/>
  <c r="I1284" i="3"/>
  <c r="I1285" i="3"/>
  <c r="I1286" i="3"/>
  <c r="I1287" i="3"/>
  <c r="I1289" i="3"/>
  <c r="I1291" i="3"/>
  <c r="I1292" i="3"/>
  <c r="I1293" i="3"/>
  <c r="I1294" i="3"/>
  <c r="I1295" i="3"/>
  <c r="I1296" i="3"/>
  <c r="I1297" i="3"/>
  <c r="I1298" i="3"/>
  <c r="I1299" i="3"/>
  <c r="I1301" i="3"/>
  <c r="I1303" i="3"/>
  <c r="I1304" i="3"/>
  <c r="I1305" i="3"/>
  <c r="I1306" i="3"/>
  <c r="I1307" i="3"/>
  <c r="I1308" i="3"/>
  <c r="I1309" i="3"/>
  <c r="I1310" i="3"/>
  <c r="I1311" i="3"/>
  <c r="I1313" i="3"/>
  <c r="I1315" i="3"/>
  <c r="I1316" i="3"/>
  <c r="I1317" i="3"/>
  <c r="I1318" i="3"/>
  <c r="I1319" i="3"/>
  <c r="I1320" i="3"/>
  <c r="I1321" i="3"/>
  <c r="I1322" i="3"/>
  <c r="I1323" i="3"/>
  <c r="I1325" i="3"/>
  <c r="I1327" i="3"/>
  <c r="I1328" i="3"/>
  <c r="I1329" i="3"/>
  <c r="I1330" i="3"/>
  <c r="I1331" i="3"/>
  <c r="I1332" i="3"/>
  <c r="I1333" i="3"/>
  <c r="I1334" i="3"/>
  <c r="I1335" i="3"/>
  <c r="I1337" i="3"/>
  <c r="I1339" i="3"/>
  <c r="I1340" i="3"/>
  <c r="I1341" i="3"/>
  <c r="I1342" i="3"/>
  <c r="I1343" i="3"/>
  <c r="I1344" i="3"/>
  <c r="I1345" i="3"/>
  <c r="I1346" i="3"/>
  <c r="I1347" i="3"/>
  <c r="I1349" i="3"/>
  <c r="I1351" i="3"/>
  <c r="I1352" i="3"/>
  <c r="I1353" i="3"/>
  <c r="I1354" i="3"/>
  <c r="I1355" i="3"/>
  <c r="I1356" i="3"/>
  <c r="I1357" i="3"/>
  <c r="I1358" i="3"/>
  <c r="I1359" i="3"/>
  <c r="I1361" i="3"/>
  <c r="I1363" i="3"/>
  <c r="I1364" i="3"/>
  <c r="I1365" i="3"/>
  <c r="I1366" i="3"/>
  <c r="I1367" i="3"/>
  <c r="I1368" i="3"/>
  <c r="I1369" i="3"/>
  <c r="I1370" i="3"/>
  <c r="I1371" i="3"/>
  <c r="I1373" i="3"/>
  <c r="I1375" i="3"/>
  <c r="I1376" i="3"/>
  <c r="I1377" i="3"/>
  <c r="I1378" i="3"/>
  <c r="I1379" i="3"/>
  <c r="I1380" i="3"/>
  <c r="I1381" i="3"/>
  <c r="I1382" i="3"/>
  <c r="I1383" i="3"/>
  <c r="I1385" i="3"/>
  <c r="I1387" i="3"/>
  <c r="I1388" i="3"/>
  <c r="I1389" i="3"/>
  <c r="I1390" i="3"/>
  <c r="I1391" i="3"/>
  <c r="I1392" i="3"/>
  <c r="I1393" i="3"/>
  <c r="I1394" i="3"/>
  <c r="I1395" i="3"/>
  <c r="I1397" i="3"/>
  <c r="I1399" i="3"/>
  <c r="I1400" i="3"/>
  <c r="I1401" i="3"/>
  <c r="I1402" i="3"/>
  <c r="I1403" i="3"/>
  <c r="I1404" i="3"/>
  <c r="I1405" i="3"/>
  <c r="I1406" i="3"/>
  <c r="I1407" i="3"/>
  <c r="I1409" i="3"/>
  <c r="I1411" i="3"/>
  <c r="I1412" i="3"/>
  <c r="I1413" i="3"/>
  <c r="I1414" i="3"/>
  <c r="I1415" i="3"/>
  <c r="I1416" i="3"/>
  <c r="I1417" i="3"/>
  <c r="I1418" i="3"/>
  <c r="I1419" i="3"/>
  <c r="I1421" i="3"/>
  <c r="I1423" i="3"/>
  <c r="I1424" i="3"/>
  <c r="I1425" i="3"/>
  <c r="I1426" i="3"/>
  <c r="I1427" i="3"/>
  <c r="I1428" i="3"/>
  <c r="I1429" i="3"/>
  <c r="I1430" i="3"/>
  <c r="I1431" i="3"/>
  <c r="I1433" i="3"/>
  <c r="I1435" i="3"/>
  <c r="I1436" i="3"/>
  <c r="I1437" i="3"/>
  <c r="I1438" i="3"/>
  <c r="I1439" i="3"/>
  <c r="I1440" i="3"/>
  <c r="I1441" i="3"/>
  <c r="I1442" i="3"/>
  <c r="I1443" i="3"/>
  <c r="I1445" i="3"/>
  <c r="I1447" i="3"/>
  <c r="I1448" i="3"/>
  <c r="I1449" i="3"/>
  <c r="I1450" i="3"/>
  <c r="I1451" i="3"/>
  <c r="I1452" i="3"/>
  <c r="I1453" i="3"/>
  <c r="I1454" i="3"/>
  <c r="I1455" i="3"/>
  <c r="I1457" i="3"/>
  <c r="I1459" i="3"/>
  <c r="I1460" i="3"/>
  <c r="I1461" i="3"/>
  <c r="I1462" i="3"/>
  <c r="I1463" i="3"/>
  <c r="I1464" i="3"/>
  <c r="I1465" i="3"/>
  <c r="I1466" i="3"/>
  <c r="I1467" i="3"/>
  <c r="I1469" i="3"/>
  <c r="I1471" i="3"/>
  <c r="I1472" i="3"/>
  <c r="I1473" i="3"/>
  <c r="I1474" i="3"/>
  <c r="I1475" i="3"/>
  <c r="I1476" i="3"/>
  <c r="I1477" i="3"/>
  <c r="I1478" i="3"/>
  <c r="I1479" i="3"/>
  <c r="I1481" i="3"/>
  <c r="I1483" i="3"/>
  <c r="I1484" i="3"/>
  <c r="I1485" i="3"/>
  <c r="I1486" i="3"/>
  <c r="I1487" i="3"/>
  <c r="I1488" i="3"/>
  <c r="I1489" i="3"/>
  <c r="I1490" i="3"/>
  <c r="I1491" i="3"/>
  <c r="I1493" i="3"/>
  <c r="I1495" i="3"/>
  <c r="I1496" i="3"/>
  <c r="I1497" i="3"/>
  <c r="I1498" i="3"/>
  <c r="I1499" i="3"/>
  <c r="I1500" i="3"/>
  <c r="I1501" i="3"/>
  <c r="I1502" i="3"/>
  <c r="I1503" i="3"/>
  <c r="I1505" i="3"/>
  <c r="I1507" i="3"/>
  <c r="I1508" i="3"/>
  <c r="I1509" i="3"/>
  <c r="I1510" i="3"/>
  <c r="I1511" i="3"/>
  <c r="I1512" i="3"/>
  <c r="I1513" i="3"/>
  <c r="I1514" i="3"/>
  <c r="I1515" i="3"/>
  <c r="I1517" i="3"/>
  <c r="I1519" i="3"/>
  <c r="I1520" i="3"/>
  <c r="I1521" i="3"/>
  <c r="I1522" i="3"/>
  <c r="I1523" i="3"/>
  <c r="I1524" i="3"/>
  <c r="I1525" i="3"/>
  <c r="I1526" i="3"/>
  <c r="I1527" i="3"/>
  <c r="I1529" i="3"/>
  <c r="I1531" i="3"/>
  <c r="I1532" i="3"/>
  <c r="I1533" i="3"/>
  <c r="I1534" i="3"/>
  <c r="I1535" i="3"/>
  <c r="I1536" i="3"/>
  <c r="I1537" i="3"/>
  <c r="I1538" i="3"/>
  <c r="I1539" i="3"/>
  <c r="I1541" i="3"/>
  <c r="I1543" i="3"/>
  <c r="I1544" i="3"/>
  <c r="I1545" i="3"/>
  <c r="I1546" i="3"/>
  <c r="I1547" i="3"/>
  <c r="I1548" i="3"/>
  <c r="I1549" i="3"/>
  <c r="I1550" i="3"/>
  <c r="I1551" i="3"/>
  <c r="I1553" i="3"/>
  <c r="I1555" i="3"/>
  <c r="I1556" i="3"/>
  <c r="I1557" i="3"/>
  <c r="I1558" i="3"/>
  <c r="I1559" i="3"/>
  <c r="I1560" i="3"/>
  <c r="I1561" i="3"/>
  <c r="I1562" i="3"/>
  <c r="I1563" i="3"/>
  <c r="I1565" i="3"/>
  <c r="I1567" i="3"/>
  <c r="I1568" i="3"/>
  <c r="I1569" i="3"/>
  <c r="I1570" i="3"/>
  <c r="I1571" i="3"/>
  <c r="I1572" i="3"/>
  <c r="I1573" i="3"/>
  <c r="I1574" i="3"/>
  <c r="I1575" i="3"/>
  <c r="I1577" i="3"/>
  <c r="I1579" i="3"/>
  <c r="I1580" i="3"/>
  <c r="I1581" i="3"/>
  <c r="I1582" i="3"/>
  <c r="I1583" i="3"/>
  <c r="I1584" i="3"/>
  <c r="I1585" i="3"/>
  <c r="I1586" i="3"/>
  <c r="I1587" i="3"/>
  <c r="I1589" i="3"/>
  <c r="I1591" i="3"/>
  <c r="I1592" i="3"/>
  <c r="I1593" i="3"/>
  <c r="I1594" i="3"/>
  <c r="I1595" i="3"/>
  <c r="I1596" i="3"/>
  <c r="I1597" i="3"/>
  <c r="I1598" i="3"/>
  <c r="I1599" i="3"/>
  <c r="I1601" i="3"/>
  <c r="I1603" i="3"/>
  <c r="I1604" i="3"/>
  <c r="I1605" i="3"/>
  <c r="I1606" i="3"/>
  <c r="I1607" i="3"/>
  <c r="I1608" i="3"/>
  <c r="I1609" i="3"/>
  <c r="I1610" i="3"/>
  <c r="I1611" i="3"/>
  <c r="I1613" i="3"/>
  <c r="I1615" i="3"/>
  <c r="I1616" i="3"/>
  <c r="I1617" i="3"/>
  <c r="I1618" i="3"/>
  <c r="I1619" i="3"/>
  <c r="I1620" i="3"/>
  <c r="I1621" i="3"/>
  <c r="I1622" i="3"/>
  <c r="I1623" i="3"/>
  <c r="I1625" i="3"/>
  <c r="I1627" i="3"/>
  <c r="I1628" i="3"/>
  <c r="I1629" i="3"/>
  <c r="I1630" i="3"/>
  <c r="I1631" i="3"/>
  <c r="I1632" i="3"/>
  <c r="I1633" i="3"/>
  <c r="I1634" i="3"/>
  <c r="I1635" i="3"/>
  <c r="I1637" i="3"/>
  <c r="I1639" i="3"/>
  <c r="I1640" i="3"/>
  <c r="I1641" i="3"/>
  <c r="I1642" i="3"/>
  <c r="I1643" i="3"/>
  <c r="I1644" i="3"/>
  <c r="I1645" i="3"/>
  <c r="I1646" i="3"/>
  <c r="I1647" i="3"/>
  <c r="I1649" i="3"/>
  <c r="I1651" i="3"/>
  <c r="I1652" i="3"/>
  <c r="I1653" i="3"/>
  <c r="I1654" i="3"/>
  <c r="I1655" i="3"/>
  <c r="I1656" i="3"/>
  <c r="I1657" i="3"/>
  <c r="I1658" i="3"/>
  <c r="I1659" i="3"/>
  <c r="I1661" i="3"/>
  <c r="I1663" i="3"/>
  <c r="I1664" i="3"/>
  <c r="I1665" i="3"/>
  <c r="I1666" i="3"/>
  <c r="I1667" i="3"/>
  <c r="I1668" i="3"/>
  <c r="I1669" i="3"/>
  <c r="I1670" i="3"/>
  <c r="I1671" i="3"/>
  <c r="I1673" i="3"/>
  <c r="I1675" i="3"/>
  <c r="I1676" i="3"/>
  <c r="I1677" i="3"/>
  <c r="I1678" i="3"/>
  <c r="I1679" i="3"/>
  <c r="I1680" i="3"/>
  <c r="I1681" i="3"/>
  <c r="I1682" i="3"/>
  <c r="I1683" i="3"/>
  <c r="I1685" i="3"/>
  <c r="I1687" i="3"/>
  <c r="I1688" i="3"/>
  <c r="I1689" i="3"/>
  <c r="I1690" i="3"/>
  <c r="I1691" i="3"/>
  <c r="I1692" i="3"/>
  <c r="I1693" i="3"/>
  <c r="I1694" i="3"/>
  <c r="I1695" i="3"/>
  <c r="I1697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5" i="3"/>
  <c r="I1746" i="3"/>
  <c r="I1747" i="3"/>
  <c r="I1748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3" i="3"/>
  <c r="I1864" i="3"/>
  <c r="I1865" i="3"/>
  <c r="I1866" i="3"/>
  <c r="I1867" i="3"/>
  <c r="I1868" i="3"/>
  <c r="I1869" i="3"/>
  <c r="I1870" i="3"/>
  <c r="I1871" i="3"/>
  <c r="I1872" i="3"/>
  <c r="I1873" i="3"/>
  <c r="I1875" i="3"/>
  <c r="I1876" i="3"/>
  <c r="I1877" i="3"/>
  <c r="I1878" i="3"/>
  <c r="I1879" i="3"/>
  <c r="I1880" i="3"/>
  <c r="I1881" i="3"/>
  <c r="I1882" i="3"/>
  <c r="I1883" i="3"/>
  <c r="I1884" i="3"/>
  <c r="I1885" i="3"/>
  <c r="I1887" i="3"/>
  <c r="I1888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M1849" i="3" l="1"/>
  <c r="M1904" i="3"/>
  <c r="M1796" i="3"/>
  <c r="M1892" i="3"/>
  <c r="M1909" i="3"/>
  <c r="M1888" i="3"/>
  <c r="M22" i="3"/>
  <c r="M1783" i="3"/>
  <c r="M1743" i="3"/>
  <c r="K1847" i="3"/>
  <c r="L1847" i="3" s="1"/>
  <c r="M1847" i="3" s="1"/>
  <c r="M1808" i="3"/>
  <c r="M1770" i="3"/>
  <c r="M1817" i="3"/>
  <c r="M1794" i="3"/>
  <c r="M1778" i="3"/>
  <c r="K1749" i="3"/>
  <c r="L1749" i="3" s="1"/>
  <c r="M1758" i="3" s="1"/>
  <c r="K1741" i="3"/>
  <c r="L1741" i="3" s="1"/>
  <c r="K1735" i="3"/>
  <c r="L1735" i="3" s="1"/>
  <c r="K1733" i="3"/>
  <c r="L1733" i="3" s="1"/>
  <c r="L1732" i="3"/>
  <c r="K1734" i="3"/>
  <c r="L1734" i="3" s="1"/>
  <c r="K1738" i="3"/>
  <c r="L1738" i="3" s="1"/>
  <c r="K1739" i="3"/>
  <c r="L1739" i="3" s="1"/>
  <c r="K1740" i="3"/>
  <c r="L1740" i="3" s="1"/>
  <c r="K1737" i="3"/>
  <c r="L1737" i="3" s="1"/>
  <c r="K1736" i="3"/>
  <c r="L1736" i="3" s="1"/>
  <c r="K1730" i="3"/>
  <c r="L1730" i="3" s="1"/>
  <c r="K1731" i="3"/>
  <c r="L1731" i="3" s="1"/>
  <c r="K1708" i="3"/>
  <c r="L1708" i="3" s="1"/>
  <c r="K1709" i="3"/>
  <c r="L1709" i="3" s="1"/>
  <c r="K1710" i="3"/>
  <c r="L1710" i="3" s="1"/>
  <c r="K1711" i="3"/>
  <c r="L1711" i="3" s="1"/>
  <c r="K1712" i="3"/>
  <c r="L1712" i="3" s="1"/>
  <c r="K1713" i="3"/>
  <c r="L1713" i="3" s="1"/>
  <c r="K1714" i="3"/>
  <c r="L1714" i="3" s="1"/>
  <c r="K1715" i="3"/>
  <c r="L1715" i="3" s="1"/>
  <c r="K1716" i="3"/>
  <c r="L1716" i="3" s="1"/>
  <c r="K1717" i="3"/>
  <c r="L1717" i="3" s="1"/>
  <c r="K1718" i="3"/>
  <c r="L1718" i="3" s="1"/>
  <c r="K1719" i="3"/>
  <c r="L1719" i="3" s="1"/>
  <c r="K1720" i="3"/>
  <c r="L1720" i="3" s="1"/>
  <c r="K1721" i="3"/>
  <c r="L1721" i="3" s="1"/>
  <c r="K1722" i="3"/>
  <c r="L1722" i="3" s="1"/>
  <c r="K1723" i="3"/>
  <c r="L1723" i="3" s="1"/>
  <c r="K1724" i="3"/>
  <c r="L1724" i="3" s="1"/>
  <c r="K1725" i="3"/>
  <c r="L1725" i="3" s="1"/>
  <c r="K1726" i="3"/>
  <c r="L1726" i="3" s="1"/>
  <c r="K1727" i="3"/>
  <c r="L1727" i="3" s="1"/>
  <c r="K1728" i="3"/>
  <c r="L1728" i="3" s="1"/>
  <c r="K1729" i="3"/>
  <c r="L1729" i="3" s="1"/>
  <c r="K1707" i="3"/>
  <c r="L1707" i="3" s="1"/>
  <c r="K8" i="3"/>
  <c r="L8" i="3" s="1"/>
  <c r="K908" i="3"/>
  <c r="L908" i="3" s="1"/>
  <c r="K909" i="3"/>
  <c r="L909" i="3" s="1"/>
  <c r="K910" i="3"/>
  <c r="L910" i="3" s="1"/>
  <c r="K911" i="3"/>
  <c r="L911" i="3" s="1"/>
  <c r="K912" i="3"/>
  <c r="L912" i="3" s="1"/>
  <c r="K913" i="3"/>
  <c r="L913" i="3" s="1"/>
  <c r="K914" i="3"/>
  <c r="L914" i="3" s="1"/>
  <c r="K915" i="3"/>
  <c r="L915" i="3" s="1"/>
  <c r="K916" i="3"/>
  <c r="L916" i="3" s="1"/>
  <c r="K917" i="3"/>
  <c r="L917" i="3" s="1"/>
  <c r="K918" i="3"/>
  <c r="L918" i="3" s="1"/>
  <c r="K919" i="3"/>
  <c r="L919" i="3" s="1"/>
  <c r="K920" i="3"/>
  <c r="L920" i="3" s="1"/>
  <c r="K921" i="3"/>
  <c r="L921" i="3" s="1"/>
  <c r="K922" i="3"/>
  <c r="L922" i="3"/>
  <c r="K923" i="3"/>
  <c r="L923" i="3" s="1"/>
  <c r="K924" i="3"/>
  <c r="L924" i="3" s="1"/>
  <c r="K925" i="3"/>
  <c r="L925" i="3" s="1"/>
  <c r="K926" i="3"/>
  <c r="L926" i="3" s="1"/>
  <c r="K927" i="3"/>
  <c r="L927" i="3" s="1"/>
  <c r="K928" i="3"/>
  <c r="L928" i="3" s="1"/>
  <c r="K929" i="3"/>
  <c r="L929" i="3" s="1"/>
  <c r="K930" i="3"/>
  <c r="L930" i="3" s="1"/>
  <c r="K931" i="3"/>
  <c r="L931" i="3" s="1"/>
  <c r="K932" i="3"/>
  <c r="L932" i="3" s="1"/>
  <c r="K933" i="3"/>
  <c r="L933" i="3" s="1"/>
  <c r="K934" i="3"/>
  <c r="L934" i="3" s="1"/>
  <c r="K935" i="3"/>
  <c r="L935" i="3" s="1"/>
  <c r="K936" i="3"/>
  <c r="L936" i="3" s="1"/>
  <c r="K937" i="3"/>
  <c r="L937" i="3" s="1"/>
  <c r="K938" i="3"/>
  <c r="L938" i="3" s="1"/>
  <c r="K939" i="3"/>
  <c r="L939" i="3" s="1"/>
  <c r="K940" i="3"/>
  <c r="L940" i="3" s="1"/>
  <c r="K941" i="3"/>
  <c r="L941" i="3" s="1"/>
  <c r="K942" i="3"/>
  <c r="L942" i="3" s="1"/>
  <c r="K943" i="3"/>
  <c r="L943" i="3" s="1"/>
  <c r="K944" i="3"/>
  <c r="L944" i="3" s="1"/>
  <c r="K945" i="3"/>
  <c r="L945" i="3" s="1"/>
  <c r="K946" i="3"/>
  <c r="L946" i="3" s="1"/>
  <c r="K947" i="3"/>
  <c r="L947" i="3" s="1"/>
  <c r="K948" i="3"/>
  <c r="L948" i="3" s="1"/>
  <c r="K949" i="3"/>
  <c r="L949" i="3" s="1"/>
  <c r="K950" i="3"/>
  <c r="L950" i="3" s="1"/>
  <c r="K951" i="3"/>
  <c r="L951" i="3" s="1"/>
  <c r="K952" i="3"/>
  <c r="L952" i="3" s="1"/>
  <c r="K953" i="3"/>
  <c r="L953" i="3" s="1"/>
  <c r="K954" i="3"/>
  <c r="L954" i="3" s="1"/>
  <c r="K955" i="3"/>
  <c r="L955" i="3"/>
  <c r="K956" i="3"/>
  <c r="L956" i="3" s="1"/>
  <c r="K957" i="3"/>
  <c r="L957" i="3" s="1"/>
  <c r="K958" i="3"/>
  <c r="L958" i="3" s="1"/>
  <c r="K959" i="3"/>
  <c r="L959" i="3" s="1"/>
  <c r="K960" i="3"/>
  <c r="L960" i="3" s="1"/>
  <c r="K961" i="3"/>
  <c r="L961" i="3" s="1"/>
  <c r="K962" i="3"/>
  <c r="L962" i="3" s="1"/>
  <c r="K963" i="3"/>
  <c r="L963" i="3" s="1"/>
  <c r="K964" i="3"/>
  <c r="L964" i="3" s="1"/>
  <c r="K965" i="3"/>
  <c r="L965" i="3" s="1"/>
  <c r="K966" i="3"/>
  <c r="L966" i="3" s="1"/>
  <c r="K967" i="3"/>
  <c r="L967" i="3" s="1"/>
  <c r="K968" i="3"/>
  <c r="L968" i="3" s="1"/>
  <c r="K969" i="3"/>
  <c r="L969" i="3" s="1"/>
  <c r="K970" i="3"/>
  <c r="L970" i="3" s="1"/>
  <c r="K971" i="3"/>
  <c r="L971" i="3" s="1"/>
  <c r="K972" i="3"/>
  <c r="L972" i="3" s="1"/>
  <c r="K973" i="3"/>
  <c r="L973" i="3" s="1"/>
  <c r="K974" i="3"/>
  <c r="L974" i="3" s="1"/>
  <c r="K975" i="3"/>
  <c r="L975" i="3" s="1"/>
  <c r="K976" i="3"/>
  <c r="L976" i="3" s="1"/>
  <c r="K977" i="3"/>
  <c r="L977" i="3"/>
  <c r="K978" i="3"/>
  <c r="L978" i="3" s="1"/>
  <c r="K979" i="3"/>
  <c r="L979" i="3" s="1"/>
  <c r="K980" i="3"/>
  <c r="L980" i="3" s="1"/>
  <c r="K981" i="3"/>
  <c r="L981" i="3" s="1"/>
  <c r="K982" i="3"/>
  <c r="L982" i="3" s="1"/>
  <c r="K983" i="3"/>
  <c r="L983" i="3" s="1"/>
  <c r="K984" i="3"/>
  <c r="L984" i="3" s="1"/>
  <c r="K985" i="3"/>
  <c r="L985" i="3" s="1"/>
  <c r="K986" i="3"/>
  <c r="L986" i="3" s="1"/>
  <c r="K987" i="3"/>
  <c r="L987" i="3" s="1"/>
  <c r="K988" i="3"/>
  <c r="L988" i="3" s="1"/>
  <c r="K989" i="3"/>
  <c r="L989" i="3" s="1"/>
  <c r="K990" i="3"/>
  <c r="L990" i="3" s="1"/>
  <c r="K991" i="3"/>
  <c r="L991" i="3" s="1"/>
  <c r="K992" i="3"/>
  <c r="L992" i="3" s="1"/>
  <c r="K993" i="3"/>
  <c r="L993" i="3" s="1"/>
  <c r="K994" i="3"/>
  <c r="L994" i="3"/>
  <c r="K995" i="3"/>
  <c r="L995" i="3" s="1"/>
  <c r="K996" i="3"/>
  <c r="L996" i="3" s="1"/>
  <c r="K997" i="3"/>
  <c r="L997" i="3" s="1"/>
  <c r="K998" i="3"/>
  <c r="L998" i="3" s="1"/>
  <c r="K999" i="3"/>
  <c r="L999" i="3" s="1"/>
  <c r="K1000" i="3"/>
  <c r="L1000" i="3" s="1"/>
  <c r="K1001" i="3"/>
  <c r="L1001" i="3" s="1"/>
  <c r="K1002" i="3"/>
  <c r="L1002" i="3" s="1"/>
  <c r="K1003" i="3"/>
  <c r="L1003" i="3" s="1"/>
  <c r="K1004" i="3"/>
  <c r="L1004" i="3" s="1"/>
  <c r="K1005" i="3"/>
  <c r="L1005" i="3" s="1"/>
  <c r="K1006" i="3"/>
  <c r="L1006" i="3" s="1"/>
  <c r="K1007" i="3"/>
  <c r="L1007" i="3" s="1"/>
  <c r="K1008" i="3"/>
  <c r="L1008" i="3" s="1"/>
  <c r="K1009" i="3"/>
  <c r="L1009" i="3" s="1"/>
  <c r="K1010" i="3"/>
  <c r="L1010" i="3" s="1"/>
  <c r="K1011" i="3"/>
  <c r="L1011" i="3" s="1"/>
  <c r="K1012" i="3"/>
  <c r="L1012" i="3" s="1"/>
  <c r="K1013" i="3"/>
  <c r="L1013" i="3" s="1"/>
  <c r="K1014" i="3"/>
  <c r="L1014" i="3" s="1"/>
  <c r="K1015" i="3"/>
  <c r="L1015" i="3" s="1"/>
  <c r="K1016" i="3"/>
  <c r="L1016" i="3" s="1"/>
  <c r="K1017" i="3"/>
  <c r="L1017" i="3" s="1"/>
  <c r="K1018" i="3"/>
  <c r="L1018" i="3" s="1"/>
  <c r="K1019" i="3"/>
  <c r="L1019" i="3" s="1"/>
  <c r="K1020" i="3"/>
  <c r="L1020" i="3"/>
  <c r="K1021" i="3"/>
  <c r="L1021" i="3" s="1"/>
  <c r="K1022" i="3"/>
  <c r="L1022" i="3" s="1"/>
  <c r="K1023" i="3"/>
  <c r="L1023" i="3" s="1"/>
  <c r="K1024" i="3"/>
  <c r="L1024" i="3" s="1"/>
  <c r="K1025" i="3"/>
  <c r="L1025" i="3" s="1"/>
  <c r="K1026" i="3"/>
  <c r="L1026" i="3" s="1"/>
  <c r="K1027" i="3"/>
  <c r="L1027" i="3"/>
  <c r="K1028" i="3"/>
  <c r="L1028" i="3" s="1"/>
  <c r="K1029" i="3"/>
  <c r="L1029" i="3" s="1"/>
  <c r="K1030" i="3"/>
  <c r="L1030" i="3" s="1"/>
  <c r="K1031" i="3"/>
  <c r="L1031" i="3" s="1"/>
  <c r="K1032" i="3"/>
  <c r="L1032" i="3" s="1"/>
  <c r="K1033" i="3"/>
  <c r="L1033" i="3" s="1"/>
  <c r="K1034" i="3"/>
  <c r="L1034" i="3" s="1"/>
  <c r="K1035" i="3"/>
  <c r="L1035" i="3" s="1"/>
  <c r="K1036" i="3"/>
  <c r="L1036" i="3" s="1"/>
  <c r="K1037" i="3"/>
  <c r="L1037" i="3" s="1"/>
  <c r="K1038" i="3"/>
  <c r="L1038" i="3" s="1"/>
  <c r="K1039" i="3"/>
  <c r="L1039" i="3" s="1"/>
  <c r="K1040" i="3"/>
  <c r="L1040" i="3" s="1"/>
  <c r="K1041" i="3"/>
  <c r="L1041" i="3" s="1"/>
  <c r="K1042" i="3"/>
  <c r="L1042" i="3" s="1"/>
  <c r="K1043" i="3"/>
  <c r="L1043" i="3" s="1"/>
  <c r="K1044" i="3"/>
  <c r="L1044" i="3" s="1"/>
  <c r="K1045" i="3"/>
  <c r="L1045" i="3" s="1"/>
  <c r="K1046" i="3"/>
  <c r="L1046" i="3" s="1"/>
  <c r="K1047" i="3"/>
  <c r="L1047" i="3" s="1"/>
  <c r="K1048" i="3"/>
  <c r="L1048" i="3" s="1"/>
  <c r="K1049" i="3"/>
  <c r="L1049" i="3" s="1"/>
  <c r="K1050" i="3"/>
  <c r="L1050" i="3" s="1"/>
  <c r="K1051" i="3"/>
  <c r="L1051" i="3" s="1"/>
  <c r="K1052" i="3"/>
  <c r="L1052" i="3" s="1"/>
  <c r="K1053" i="3"/>
  <c r="L1053" i="3" s="1"/>
  <c r="K1054" i="3"/>
  <c r="L1054" i="3"/>
  <c r="K1055" i="3"/>
  <c r="L1055" i="3" s="1"/>
  <c r="K1056" i="3"/>
  <c r="L1056" i="3" s="1"/>
  <c r="K1057" i="3"/>
  <c r="L1057" i="3" s="1"/>
  <c r="K1058" i="3"/>
  <c r="L1058" i="3" s="1"/>
  <c r="K1059" i="3"/>
  <c r="L1059" i="3" s="1"/>
  <c r="K1060" i="3"/>
  <c r="L1060" i="3" s="1"/>
  <c r="K1061" i="3"/>
  <c r="L1061" i="3" s="1"/>
  <c r="K1062" i="3"/>
  <c r="L1062" i="3" s="1"/>
  <c r="K1063" i="3"/>
  <c r="L1063" i="3" s="1"/>
  <c r="K1064" i="3"/>
  <c r="L1064" i="3" s="1"/>
  <c r="K1065" i="3"/>
  <c r="L1065" i="3" s="1"/>
  <c r="K1066" i="3"/>
  <c r="L1066" i="3" s="1"/>
  <c r="K1067" i="3"/>
  <c r="L1067" i="3" s="1"/>
  <c r="K1068" i="3"/>
  <c r="L1068" i="3" s="1"/>
  <c r="K1069" i="3"/>
  <c r="L1069" i="3" s="1"/>
  <c r="K1070" i="3"/>
  <c r="L1070" i="3" s="1"/>
  <c r="K1071" i="3"/>
  <c r="L1071" i="3" s="1"/>
  <c r="K1072" i="3"/>
  <c r="L1072" i="3" s="1"/>
  <c r="K1073" i="3"/>
  <c r="L1073" i="3" s="1"/>
  <c r="K1074" i="3"/>
  <c r="L1074" i="3" s="1"/>
  <c r="K1075" i="3"/>
  <c r="L1075" i="3" s="1"/>
  <c r="K1076" i="3"/>
  <c r="L1076" i="3" s="1"/>
  <c r="K1077" i="3"/>
  <c r="L1077" i="3" s="1"/>
  <c r="K1078" i="3"/>
  <c r="L1078" i="3" s="1"/>
  <c r="K1079" i="3"/>
  <c r="L1079" i="3" s="1"/>
  <c r="K1080" i="3"/>
  <c r="L1080" i="3" s="1"/>
  <c r="K1081" i="3"/>
  <c r="L1081" i="3" s="1"/>
  <c r="K1082" i="3"/>
  <c r="L1082" i="3" s="1"/>
  <c r="K1083" i="3"/>
  <c r="L1083" i="3" s="1"/>
  <c r="K1084" i="3"/>
  <c r="L1084" i="3" s="1"/>
  <c r="K1085" i="3"/>
  <c r="L1085" i="3" s="1"/>
  <c r="K1086" i="3"/>
  <c r="L1086" i="3" s="1"/>
  <c r="K1087" i="3"/>
  <c r="L1087" i="3" s="1"/>
  <c r="K1088" i="3"/>
  <c r="L1088" i="3" s="1"/>
  <c r="K1089" i="3"/>
  <c r="L1089" i="3" s="1"/>
  <c r="K1090" i="3"/>
  <c r="L1090" i="3" s="1"/>
  <c r="K1091" i="3"/>
  <c r="L1091" i="3" s="1"/>
  <c r="K1092" i="3"/>
  <c r="L1092" i="3" s="1"/>
  <c r="K1093" i="3"/>
  <c r="L1093" i="3" s="1"/>
  <c r="K1094" i="3"/>
  <c r="L1094" i="3" s="1"/>
  <c r="K1095" i="3"/>
  <c r="L1095" i="3" s="1"/>
  <c r="K1096" i="3"/>
  <c r="L1096" i="3" s="1"/>
  <c r="K1097" i="3"/>
  <c r="L1097" i="3" s="1"/>
  <c r="K1098" i="3"/>
  <c r="L1098" i="3" s="1"/>
  <c r="K1099" i="3"/>
  <c r="L1099" i="3" s="1"/>
  <c r="K1100" i="3"/>
  <c r="L1100" i="3" s="1"/>
  <c r="K1101" i="3"/>
  <c r="L1101" i="3" s="1"/>
  <c r="K1102" i="3"/>
  <c r="L1102" i="3" s="1"/>
  <c r="K1103" i="3"/>
  <c r="L1103" i="3" s="1"/>
  <c r="K1104" i="3"/>
  <c r="L1104" i="3" s="1"/>
  <c r="K1105" i="3"/>
  <c r="L1105" i="3" s="1"/>
  <c r="K1106" i="3"/>
  <c r="L1106" i="3" s="1"/>
  <c r="K1107" i="3"/>
  <c r="L1107" i="3" s="1"/>
  <c r="K1108" i="3"/>
  <c r="L1108" i="3" s="1"/>
  <c r="K1109" i="3"/>
  <c r="L1109" i="3" s="1"/>
  <c r="K1110" i="3"/>
  <c r="L1110" i="3" s="1"/>
  <c r="K1111" i="3"/>
  <c r="L1111" i="3" s="1"/>
  <c r="K1112" i="3"/>
  <c r="L1112" i="3" s="1"/>
  <c r="K1113" i="3"/>
  <c r="L1113" i="3" s="1"/>
  <c r="K1114" i="3"/>
  <c r="L1114" i="3" s="1"/>
  <c r="K1115" i="3"/>
  <c r="L1115" i="3"/>
  <c r="K1116" i="3"/>
  <c r="L1116" i="3" s="1"/>
  <c r="K1117" i="3"/>
  <c r="L1117" i="3" s="1"/>
  <c r="K1118" i="3"/>
  <c r="L1118" i="3" s="1"/>
  <c r="K1119" i="3"/>
  <c r="L1119" i="3" s="1"/>
  <c r="K1120" i="3"/>
  <c r="L1120" i="3" s="1"/>
  <c r="K1121" i="3"/>
  <c r="L1121" i="3" s="1"/>
  <c r="K1122" i="3"/>
  <c r="L1122" i="3" s="1"/>
  <c r="K1123" i="3"/>
  <c r="L1123" i="3" s="1"/>
  <c r="K1124" i="3"/>
  <c r="L1124" i="3" s="1"/>
  <c r="K1125" i="3"/>
  <c r="L1125" i="3" s="1"/>
  <c r="K1126" i="3"/>
  <c r="L1126" i="3"/>
  <c r="K1127" i="3"/>
  <c r="L1127" i="3" s="1"/>
  <c r="K1128" i="3"/>
  <c r="L1128" i="3" s="1"/>
  <c r="K1129" i="3"/>
  <c r="L1129" i="3" s="1"/>
  <c r="K1130" i="3"/>
  <c r="L1130" i="3" s="1"/>
  <c r="K1131" i="3"/>
  <c r="L1131" i="3" s="1"/>
  <c r="K1132" i="3"/>
  <c r="L1132" i="3" s="1"/>
  <c r="K1133" i="3"/>
  <c r="L1133" i="3" s="1"/>
  <c r="K1134" i="3"/>
  <c r="L1134" i="3" s="1"/>
  <c r="K1135" i="3"/>
  <c r="L1135" i="3" s="1"/>
  <c r="K1136" i="3"/>
  <c r="L1136" i="3" s="1"/>
  <c r="K1137" i="3"/>
  <c r="L1137" i="3" s="1"/>
  <c r="K1138" i="3"/>
  <c r="L1138" i="3" s="1"/>
  <c r="K1139" i="3"/>
  <c r="L1139" i="3" s="1"/>
  <c r="K1140" i="3"/>
  <c r="L1140" i="3" s="1"/>
  <c r="K1141" i="3"/>
  <c r="L1141" i="3" s="1"/>
  <c r="K1142" i="3"/>
  <c r="L1142" i="3" s="1"/>
  <c r="K1143" i="3"/>
  <c r="L1143" i="3" s="1"/>
  <c r="K1144" i="3"/>
  <c r="L1144" i="3" s="1"/>
  <c r="K1145" i="3"/>
  <c r="L1145" i="3" s="1"/>
  <c r="K1146" i="3"/>
  <c r="L1146" i="3" s="1"/>
  <c r="K1147" i="3"/>
  <c r="L1147" i="3" s="1"/>
  <c r="K1148" i="3"/>
  <c r="L1148" i="3" s="1"/>
  <c r="K1149" i="3"/>
  <c r="L1149" i="3" s="1"/>
  <c r="K1150" i="3"/>
  <c r="L1150" i="3" s="1"/>
  <c r="K1151" i="3"/>
  <c r="L1151" i="3" s="1"/>
  <c r="K1152" i="3"/>
  <c r="L1152" i="3" s="1"/>
  <c r="K1153" i="3"/>
  <c r="L1153" i="3" s="1"/>
  <c r="K1154" i="3"/>
  <c r="L1154" i="3" s="1"/>
  <c r="K1155" i="3"/>
  <c r="L1155" i="3"/>
  <c r="K1156" i="3"/>
  <c r="L1156" i="3" s="1"/>
  <c r="K1157" i="3"/>
  <c r="L1157" i="3" s="1"/>
  <c r="K1158" i="3"/>
  <c r="L1158" i="3" s="1"/>
  <c r="K1159" i="3"/>
  <c r="L1159" i="3" s="1"/>
  <c r="K1160" i="3"/>
  <c r="L1160" i="3" s="1"/>
  <c r="K1161" i="3"/>
  <c r="L1161" i="3" s="1"/>
  <c r="K1162" i="3"/>
  <c r="L1162" i="3"/>
  <c r="K1163" i="3"/>
  <c r="L1163" i="3" s="1"/>
  <c r="K1164" i="3"/>
  <c r="L1164" i="3" s="1"/>
  <c r="K1165" i="3"/>
  <c r="L1165" i="3" s="1"/>
  <c r="K1166" i="3"/>
  <c r="L1166" i="3" s="1"/>
  <c r="K1167" i="3"/>
  <c r="L1167" i="3" s="1"/>
  <c r="K1168" i="3"/>
  <c r="L1168" i="3" s="1"/>
  <c r="K1169" i="3"/>
  <c r="L1169" i="3" s="1"/>
  <c r="K1170" i="3"/>
  <c r="L1170" i="3" s="1"/>
  <c r="K1171" i="3"/>
  <c r="L1171" i="3" s="1"/>
  <c r="K1172" i="3"/>
  <c r="L1172" i="3" s="1"/>
  <c r="K1173" i="3"/>
  <c r="L1173" i="3" s="1"/>
  <c r="K1174" i="3"/>
  <c r="L1174" i="3" s="1"/>
  <c r="K1175" i="3"/>
  <c r="L1175" i="3" s="1"/>
  <c r="K1176" i="3"/>
  <c r="L1176" i="3" s="1"/>
  <c r="K1177" i="3"/>
  <c r="L1177" i="3" s="1"/>
  <c r="K1178" i="3"/>
  <c r="L1178" i="3" s="1"/>
  <c r="K1179" i="3"/>
  <c r="L1179" i="3" s="1"/>
  <c r="K1180" i="3"/>
  <c r="L1180" i="3" s="1"/>
  <c r="K1181" i="3"/>
  <c r="L1181" i="3" s="1"/>
  <c r="K1182" i="3"/>
  <c r="L1182" i="3" s="1"/>
  <c r="K1183" i="3"/>
  <c r="L1183" i="3" s="1"/>
  <c r="K1184" i="3"/>
  <c r="L1184" i="3" s="1"/>
  <c r="K1185" i="3"/>
  <c r="L1185" i="3" s="1"/>
  <c r="K1186" i="3"/>
  <c r="L1186" i="3" s="1"/>
  <c r="K1187" i="3"/>
  <c r="L1187" i="3" s="1"/>
  <c r="K1188" i="3"/>
  <c r="L1188" i="3" s="1"/>
  <c r="K1189" i="3"/>
  <c r="L1189" i="3" s="1"/>
  <c r="K1190" i="3"/>
  <c r="L1190" i="3" s="1"/>
  <c r="K1191" i="3"/>
  <c r="L1191" i="3"/>
  <c r="K1192" i="3"/>
  <c r="L1192" i="3" s="1"/>
  <c r="K1193" i="3"/>
  <c r="L1193" i="3" s="1"/>
  <c r="K1194" i="3"/>
  <c r="L1194" i="3" s="1"/>
  <c r="K1195" i="3"/>
  <c r="L1195" i="3" s="1"/>
  <c r="K1196" i="3"/>
  <c r="L1196" i="3" s="1"/>
  <c r="K1197" i="3"/>
  <c r="L1197" i="3" s="1"/>
  <c r="K1198" i="3"/>
  <c r="L1198" i="3" s="1"/>
  <c r="K1199" i="3"/>
  <c r="L1199" i="3" s="1"/>
  <c r="K1200" i="3"/>
  <c r="L1200" i="3" s="1"/>
  <c r="K1201" i="3"/>
  <c r="L1201" i="3" s="1"/>
  <c r="K1202" i="3"/>
  <c r="L1202" i="3" s="1"/>
  <c r="K1203" i="3"/>
  <c r="L1203" i="3" s="1"/>
  <c r="K1204" i="3"/>
  <c r="L1204" i="3" s="1"/>
  <c r="K1205" i="3"/>
  <c r="L1205" i="3" s="1"/>
  <c r="K1206" i="3"/>
  <c r="L1206" i="3" s="1"/>
  <c r="K1207" i="3"/>
  <c r="L1207" i="3" s="1"/>
  <c r="K1208" i="3"/>
  <c r="L1208" i="3" s="1"/>
  <c r="K1209" i="3"/>
  <c r="L1209" i="3" s="1"/>
  <c r="K1210" i="3"/>
  <c r="L1210" i="3" s="1"/>
  <c r="K1211" i="3"/>
  <c r="L1211" i="3" s="1"/>
  <c r="K1212" i="3"/>
  <c r="L1212" i="3" s="1"/>
  <c r="K1213" i="3"/>
  <c r="L1213" i="3" s="1"/>
  <c r="K1214" i="3"/>
  <c r="L1214" i="3" s="1"/>
  <c r="K1215" i="3"/>
  <c r="L1215" i="3" s="1"/>
  <c r="K1216" i="3"/>
  <c r="L1216" i="3" s="1"/>
  <c r="K1217" i="3"/>
  <c r="L1217" i="3" s="1"/>
  <c r="K1218" i="3"/>
  <c r="L1218" i="3" s="1"/>
  <c r="K1219" i="3"/>
  <c r="L1219" i="3" s="1"/>
  <c r="K1220" i="3"/>
  <c r="L1220" i="3" s="1"/>
  <c r="K1221" i="3"/>
  <c r="L1221" i="3" s="1"/>
  <c r="K1222" i="3"/>
  <c r="L1222" i="3" s="1"/>
  <c r="K1223" i="3"/>
  <c r="L1223" i="3" s="1"/>
  <c r="K1224" i="3"/>
  <c r="L1224" i="3" s="1"/>
  <c r="K1225" i="3"/>
  <c r="L1225" i="3" s="1"/>
  <c r="K1226" i="3"/>
  <c r="L1226" i="3" s="1"/>
  <c r="K1227" i="3"/>
  <c r="L1227" i="3" s="1"/>
  <c r="K1228" i="3"/>
  <c r="L1228" i="3" s="1"/>
  <c r="K1229" i="3"/>
  <c r="L1229" i="3" s="1"/>
  <c r="K1230" i="3"/>
  <c r="L1230" i="3" s="1"/>
  <c r="K1231" i="3"/>
  <c r="L1231" i="3" s="1"/>
  <c r="K1232" i="3"/>
  <c r="L1232" i="3" s="1"/>
  <c r="K1233" i="3"/>
  <c r="L1233" i="3" s="1"/>
  <c r="K1234" i="3"/>
  <c r="L1234" i="3" s="1"/>
  <c r="K1235" i="3"/>
  <c r="L1235" i="3" s="1"/>
  <c r="K1236" i="3"/>
  <c r="L1236" i="3" s="1"/>
  <c r="K1237" i="3"/>
  <c r="L1237" i="3" s="1"/>
  <c r="K1238" i="3"/>
  <c r="L1238" i="3" s="1"/>
  <c r="K1239" i="3"/>
  <c r="L1239" i="3" s="1"/>
  <c r="K1240" i="3"/>
  <c r="L1240" i="3" s="1"/>
  <c r="K1241" i="3"/>
  <c r="L1241" i="3" s="1"/>
  <c r="K1242" i="3"/>
  <c r="L1242" i="3" s="1"/>
  <c r="K1243" i="3"/>
  <c r="L1243" i="3" s="1"/>
  <c r="K1244" i="3"/>
  <c r="L1244" i="3" s="1"/>
  <c r="K1245" i="3"/>
  <c r="L1245" i="3" s="1"/>
  <c r="K1246" i="3"/>
  <c r="L1246" i="3" s="1"/>
  <c r="K1247" i="3"/>
  <c r="L1247" i="3" s="1"/>
  <c r="K1248" i="3"/>
  <c r="L1248" i="3" s="1"/>
  <c r="K1249" i="3"/>
  <c r="L1249" i="3" s="1"/>
  <c r="K1250" i="3"/>
  <c r="L1250" i="3" s="1"/>
  <c r="K1251" i="3"/>
  <c r="L1251" i="3" s="1"/>
  <c r="K1252" i="3"/>
  <c r="L1252" i="3" s="1"/>
  <c r="K1253" i="3"/>
  <c r="L1253" i="3" s="1"/>
  <c r="K1254" i="3"/>
  <c r="L1254" i="3" s="1"/>
  <c r="K1255" i="3"/>
  <c r="L1255" i="3" s="1"/>
  <c r="K1256" i="3"/>
  <c r="L1256" i="3" s="1"/>
  <c r="K1257" i="3"/>
  <c r="L1257" i="3" s="1"/>
  <c r="K1258" i="3"/>
  <c r="L1258" i="3" s="1"/>
  <c r="K1259" i="3"/>
  <c r="L1259" i="3" s="1"/>
  <c r="K1260" i="3"/>
  <c r="L1260" i="3" s="1"/>
  <c r="K1261" i="3"/>
  <c r="L1261" i="3" s="1"/>
  <c r="K1262" i="3"/>
  <c r="L1262" i="3" s="1"/>
  <c r="K1263" i="3"/>
  <c r="L1263" i="3" s="1"/>
  <c r="K1264" i="3"/>
  <c r="L1264" i="3" s="1"/>
  <c r="K1265" i="3"/>
  <c r="L1265" i="3" s="1"/>
  <c r="K1266" i="3"/>
  <c r="L1266" i="3" s="1"/>
  <c r="K1267" i="3"/>
  <c r="L1267" i="3" s="1"/>
  <c r="K1268" i="3"/>
  <c r="L1268" i="3" s="1"/>
  <c r="K1269" i="3"/>
  <c r="L1269" i="3" s="1"/>
  <c r="K1270" i="3"/>
  <c r="L1270" i="3" s="1"/>
  <c r="K1271" i="3"/>
  <c r="L1271" i="3" s="1"/>
  <c r="K1272" i="3"/>
  <c r="L1272" i="3" s="1"/>
  <c r="K1273" i="3"/>
  <c r="L1273" i="3" s="1"/>
  <c r="K1274" i="3"/>
  <c r="L1274" i="3" s="1"/>
  <c r="K1275" i="3"/>
  <c r="L1275" i="3" s="1"/>
  <c r="K1276" i="3"/>
  <c r="L1276" i="3" s="1"/>
  <c r="K1277" i="3"/>
  <c r="L1277" i="3" s="1"/>
  <c r="K1278" i="3"/>
  <c r="L1278" i="3" s="1"/>
  <c r="K1279" i="3"/>
  <c r="L1279" i="3" s="1"/>
  <c r="K1280" i="3"/>
  <c r="L1280" i="3" s="1"/>
  <c r="K1281" i="3"/>
  <c r="L1281" i="3" s="1"/>
  <c r="K1282" i="3"/>
  <c r="L1282" i="3" s="1"/>
  <c r="K1283" i="3"/>
  <c r="L1283" i="3" s="1"/>
  <c r="K1284" i="3"/>
  <c r="L1284" i="3" s="1"/>
  <c r="K1285" i="3"/>
  <c r="L1285" i="3" s="1"/>
  <c r="K1286" i="3"/>
  <c r="L1286" i="3" s="1"/>
  <c r="K1287" i="3"/>
  <c r="L1287" i="3" s="1"/>
  <c r="K1288" i="3"/>
  <c r="L1288" i="3" s="1"/>
  <c r="K1289" i="3"/>
  <c r="L1289" i="3" s="1"/>
  <c r="K1290" i="3"/>
  <c r="L1290" i="3" s="1"/>
  <c r="K1291" i="3"/>
  <c r="L1291" i="3" s="1"/>
  <c r="K1292" i="3"/>
  <c r="L1292" i="3" s="1"/>
  <c r="K1293" i="3"/>
  <c r="L1293" i="3" s="1"/>
  <c r="K1294" i="3"/>
  <c r="L1294" i="3" s="1"/>
  <c r="K1295" i="3"/>
  <c r="L1295" i="3" s="1"/>
  <c r="K1296" i="3"/>
  <c r="L1296" i="3" s="1"/>
  <c r="K1297" i="3"/>
  <c r="L1297" i="3" s="1"/>
  <c r="K1298" i="3"/>
  <c r="L1298" i="3" s="1"/>
  <c r="K1299" i="3"/>
  <c r="L1299" i="3" s="1"/>
  <c r="K1300" i="3"/>
  <c r="L1300" i="3" s="1"/>
  <c r="K1301" i="3"/>
  <c r="L1301" i="3" s="1"/>
  <c r="K1302" i="3"/>
  <c r="L1302" i="3"/>
  <c r="K1303" i="3"/>
  <c r="L1303" i="3" s="1"/>
  <c r="K1304" i="3"/>
  <c r="L1304" i="3" s="1"/>
  <c r="K1305" i="3"/>
  <c r="L1305" i="3" s="1"/>
  <c r="K1306" i="3"/>
  <c r="L1306" i="3" s="1"/>
  <c r="K1307" i="3"/>
  <c r="L1307" i="3" s="1"/>
  <c r="K1308" i="3"/>
  <c r="L1308" i="3" s="1"/>
  <c r="K1309" i="3"/>
  <c r="L1309" i="3" s="1"/>
  <c r="K1310" i="3"/>
  <c r="L1310" i="3" s="1"/>
  <c r="K1311" i="3"/>
  <c r="L1311" i="3" s="1"/>
  <c r="K1312" i="3"/>
  <c r="L1312" i="3" s="1"/>
  <c r="K1313" i="3"/>
  <c r="L1313" i="3" s="1"/>
  <c r="K1314" i="3"/>
  <c r="L1314" i="3" s="1"/>
  <c r="K1315" i="3"/>
  <c r="L1315" i="3" s="1"/>
  <c r="K1316" i="3"/>
  <c r="L1316" i="3" s="1"/>
  <c r="K1317" i="3"/>
  <c r="L1317" i="3" s="1"/>
  <c r="K1318" i="3"/>
  <c r="L1318" i="3" s="1"/>
  <c r="K1319" i="3"/>
  <c r="L1319" i="3" s="1"/>
  <c r="K1320" i="3"/>
  <c r="L1320" i="3" s="1"/>
  <c r="K1321" i="3"/>
  <c r="L1321" i="3" s="1"/>
  <c r="K1322" i="3"/>
  <c r="L1322" i="3" s="1"/>
  <c r="K1323" i="3"/>
  <c r="L1323" i="3" s="1"/>
  <c r="K1324" i="3"/>
  <c r="L1324" i="3" s="1"/>
  <c r="K1325" i="3"/>
  <c r="L1325" i="3" s="1"/>
  <c r="K1326" i="3"/>
  <c r="L1326" i="3" s="1"/>
  <c r="K1327" i="3"/>
  <c r="L1327" i="3" s="1"/>
  <c r="K1328" i="3"/>
  <c r="L1328" i="3" s="1"/>
  <c r="K1329" i="3"/>
  <c r="L1329" i="3" s="1"/>
  <c r="K1330" i="3"/>
  <c r="L1330" i="3" s="1"/>
  <c r="K1331" i="3"/>
  <c r="L1331" i="3" s="1"/>
  <c r="K1332" i="3"/>
  <c r="L1332" i="3" s="1"/>
  <c r="K1333" i="3"/>
  <c r="L1333" i="3" s="1"/>
  <c r="K1334" i="3"/>
  <c r="L1334" i="3" s="1"/>
  <c r="K1335" i="3"/>
  <c r="L1335" i="3" s="1"/>
  <c r="K1336" i="3"/>
  <c r="L1336" i="3" s="1"/>
  <c r="K1337" i="3"/>
  <c r="L1337" i="3" s="1"/>
  <c r="K1338" i="3"/>
  <c r="L1338" i="3" s="1"/>
  <c r="K1339" i="3"/>
  <c r="L1339" i="3" s="1"/>
  <c r="K1340" i="3"/>
  <c r="L1340" i="3" s="1"/>
  <c r="K1341" i="3"/>
  <c r="L1341" i="3"/>
  <c r="K1342" i="3"/>
  <c r="L1342" i="3" s="1"/>
  <c r="K1343" i="3"/>
  <c r="L1343" i="3" s="1"/>
  <c r="K1344" i="3"/>
  <c r="L1344" i="3" s="1"/>
  <c r="K1345" i="3"/>
  <c r="L1345" i="3" s="1"/>
  <c r="K1346" i="3"/>
  <c r="L1346" i="3" s="1"/>
  <c r="K1347" i="3"/>
  <c r="L1347" i="3" s="1"/>
  <c r="K1348" i="3"/>
  <c r="L1348" i="3" s="1"/>
  <c r="K1349" i="3"/>
  <c r="L1349" i="3" s="1"/>
  <c r="K1350" i="3"/>
  <c r="L1350" i="3" s="1"/>
  <c r="K1351" i="3"/>
  <c r="L1351" i="3" s="1"/>
  <c r="K1352" i="3"/>
  <c r="L1352" i="3" s="1"/>
  <c r="K1353" i="3"/>
  <c r="L1353" i="3" s="1"/>
  <c r="K1354" i="3"/>
  <c r="L1354" i="3" s="1"/>
  <c r="K1355" i="3"/>
  <c r="L1355" i="3" s="1"/>
  <c r="K1356" i="3"/>
  <c r="L1356" i="3" s="1"/>
  <c r="K1357" i="3"/>
  <c r="L1357" i="3" s="1"/>
  <c r="K1358" i="3"/>
  <c r="L1358" i="3" s="1"/>
  <c r="K1359" i="3"/>
  <c r="L1359" i="3" s="1"/>
  <c r="K1360" i="3"/>
  <c r="L1360" i="3" s="1"/>
  <c r="K1361" i="3"/>
  <c r="L1361" i="3" s="1"/>
  <c r="K1362" i="3"/>
  <c r="L1362" i="3" s="1"/>
  <c r="K1363" i="3"/>
  <c r="L1363" i="3" s="1"/>
  <c r="K1364" i="3"/>
  <c r="L1364" i="3" s="1"/>
  <c r="K1365" i="3"/>
  <c r="L1365" i="3" s="1"/>
  <c r="K1366" i="3"/>
  <c r="L1366" i="3" s="1"/>
  <c r="K1367" i="3"/>
  <c r="L1367" i="3" s="1"/>
  <c r="K1368" i="3"/>
  <c r="L1368" i="3"/>
  <c r="K1369" i="3"/>
  <c r="L1369" i="3"/>
  <c r="K1370" i="3"/>
  <c r="L1370" i="3" s="1"/>
  <c r="K1371" i="3"/>
  <c r="L1371" i="3" s="1"/>
  <c r="K1372" i="3"/>
  <c r="L1372" i="3" s="1"/>
  <c r="K1373" i="3"/>
  <c r="L1373" i="3" s="1"/>
  <c r="K1374" i="3"/>
  <c r="L1374" i="3" s="1"/>
  <c r="K1375" i="3"/>
  <c r="L1375" i="3" s="1"/>
  <c r="K1376" i="3"/>
  <c r="L1376" i="3" s="1"/>
  <c r="K1377" i="3"/>
  <c r="L1377" i="3" s="1"/>
  <c r="K1378" i="3"/>
  <c r="L1378" i="3"/>
  <c r="K1379" i="3"/>
  <c r="L1379" i="3" s="1"/>
  <c r="K1380" i="3"/>
  <c r="L1380" i="3" s="1"/>
  <c r="K1381" i="3"/>
  <c r="L1381" i="3" s="1"/>
  <c r="K1382" i="3"/>
  <c r="L1382" i="3" s="1"/>
  <c r="K1383" i="3"/>
  <c r="L1383" i="3" s="1"/>
  <c r="K1384" i="3"/>
  <c r="L1384" i="3" s="1"/>
  <c r="K1385" i="3"/>
  <c r="L1385" i="3" s="1"/>
  <c r="K1386" i="3"/>
  <c r="L1386" i="3" s="1"/>
  <c r="K1387" i="3"/>
  <c r="L1387" i="3" s="1"/>
  <c r="K1388" i="3"/>
  <c r="L1388" i="3" s="1"/>
  <c r="K1389" i="3"/>
  <c r="L1389" i="3" s="1"/>
  <c r="K1390" i="3"/>
  <c r="L1390" i="3" s="1"/>
  <c r="K1391" i="3"/>
  <c r="L1391" i="3" s="1"/>
  <c r="K1392" i="3"/>
  <c r="L1392" i="3" s="1"/>
  <c r="K1393" i="3"/>
  <c r="L1393" i="3" s="1"/>
  <c r="K1394" i="3"/>
  <c r="L1394" i="3" s="1"/>
  <c r="K1395" i="3"/>
  <c r="L1395" i="3" s="1"/>
  <c r="K1396" i="3"/>
  <c r="L1396" i="3" s="1"/>
  <c r="K1397" i="3"/>
  <c r="L1397" i="3" s="1"/>
  <c r="K1398" i="3"/>
  <c r="L1398" i="3" s="1"/>
  <c r="K1399" i="3"/>
  <c r="L1399" i="3" s="1"/>
  <c r="K1400" i="3"/>
  <c r="L1400" i="3" s="1"/>
  <c r="K1401" i="3"/>
  <c r="L1401" i="3" s="1"/>
  <c r="K1402" i="3"/>
  <c r="L1402" i="3" s="1"/>
  <c r="K1403" i="3"/>
  <c r="L1403" i="3" s="1"/>
  <c r="K1404" i="3"/>
  <c r="L1404" i="3" s="1"/>
  <c r="K1405" i="3"/>
  <c r="L1405" i="3" s="1"/>
  <c r="K1406" i="3"/>
  <c r="L1406" i="3" s="1"/>
  <c r="K1407" i="3"/>
  <c r="L1407" i="3" s="1"/>
  <c r="K1408" i="3"/>
  <c r="L1408" i="3" s="1"/>
  <c r="K1409" i="3"/>
  <c r="L1409" i="3" s="1"/>
  <c r="K1410" i="3"/>
  <c r="L1410" i="3" s="1"/>
  <c r="K1411" i="3"/>
  <c r="L1411" i="3" s="1"/>
  <c r="K1412" i="3"/>
  <c r="L1412" i="3" s="1"/>
  <c r="K1413" i="3"/>
  <c r="L1413" i="3" s="1"/>
  <c r="K1414" i="3"/>
  <c r="L1414" i="3" s="1"/>
  <c r="K1415" i="3"/>
  <c r="L1415" i="3" s="1"/>
  <c r="K1416" i="3"/>
  <c r="L1416" i="3" s="1"/>
  <c r="K1417" i="3"/>
  <c r="L1417" i="3" s="1"/>
  <c r="K1418" i="3"/>
  <c r="L1418" i="3" s="1"/>
  <c r="K1419" i="3"/>
  <c r="L1419" i="3" s="1"/>
  <c r="K1420" i="3"/>
  <c r="L1420" i="3" s="1"/>
  <c r="K1421" i="3"/>
  <c r="L1421" i="3" s="1"/>
  <c r="K1422" i="3"/>
  <c r="L1422" i="3" s="1"/>
  <c r="K1423" i="3"/>
  <c r="L1423" i="3" s="1"/>
  <c r="K1424" i="3"/>
  <c r="L1424" i="3" s="1"/>
  <c r="K1425" i="3"/>
  <c r="L1425" i="3" s="1"/>
  <c r="K1426" i="3"/>
  <c r="L1426" i="3" s="1"/>
  <c r="K1427" i="3"/>
  <c r="L1427" i="3" s="1"/>
  <c r="K1428" i="3"/>
  <c r="L1428" i="3" s="1"/>
  <c r="K1429" i="3"/>
  <c r="L1429" i="3" s="1"/>
  <c r="K1430" i="3"/>
  <c r="L1430" i="3" s="1"/>
  <c r="K1431" i="3"/>
  <c r="L1431" i="3" s="1"/>
  <c r="K1432" i="3"/>
  <c r="L1432" i="3" s="1"/>
  <c r="K1433" i="3"/>
  <c r="L1433" i="3" s="1"/>
  <c r="K1434" i="3"/>
  <c r="L1434" i="3" s="1"/>
  <c r="K1435" i="3"/>
  <c r="L1435" i="3" s="1"/>
  <c r="K1436" i="3"/>
  <c r="L1436" i="3" s="1"/>
  <c r="K1437" i="3"/>
  <c r="L1437" i="3" s="1"/>
  <c r="K1438" i="3"/>
  <c r="L1438" i="3" s="1"/>
  <c r="K1439" i="3"/>
  <c r="L1439" i="3" s="1"/>
  <c r="K1440" i="3"/>
  <c r="L1440" i="3" s="1"/>
  <c r="K1441" i="3"/>
  <c r="L1441" i="3" s="1"/>
  <c r="K1442" i="3"/>
  <c r="L1442" i="3" s="1"/>
  <c r="K1443" i="3"/>
  <c r="L1443" i="3" s="1"/>
  <c r="K1444" i="3"/>
  <c r="L1444" i="3" s="1"/>
  <c r="K1445" i="3"/>
  <c r="L1445" i="3" s="1"/>
  <c r="K1446" i="3"/>
  <c r="L1446" i="3" s="1"/>
  <c r="K1447" i="3"/>
  <c r="L1447" i="3" s="1"/>
  <c r="K1448" i="3"/>
  <c r="L1448" i="3" s="1"/>
  <c r="K1449" i="3"/>
  <c r="L1449" i="3" s="1"/>
  <c r="K1450" i="3"/>
  <c r="L1450" i="3" s="1"/>
  <c r="K1451" i="3"/>
  <c r="L1451" i="3" s="1"/>
  <c r="K1452" i="3"/>
  <c r="L1452" i="3" s="1"/>
  <c r="K1453" i="3"/>
  <c r="L1453" i="3" s="1"/>
  <c r="K1454" i="3"/>
  <c r="L1454" i="3" s="1"/>
  <c r="K1455" i="3"/>
  <c r="L1455" i="3" s="1"/>
  <c r="K1456" i="3"/>
  <c r="L1456" i="3" s="1"/>
  <c r="K1457" i="3"/>
  <c r="L1457" i="3" s="1"/>
  <c r="K1458" i="3"/>
  <c r="L1458" i="3" s="1"/>
  <c r="K1459" i="3"/>
  <c r="L1459" i="3" s="1"/>
  <c r="K1460" i="3"/>
  <c r="L1460" i="3" s="1"/>
  <c r="K1461" i="3"/>
  <c r="L1461" i="3" s="1"/>
  <c r="K1462" i="3"/>
  <c r="L1462" i="3" s="1"/>
  <c r="K1463" i="3"/>
  <c r="L1463" i="3" s="1"/>
  <c r="K1464" i="3"/>
  <c r="L1464" i="3" s="1"/>
  <c r="K1465" i="3"/>
  <c r="L1465" i="3" s="1"/>
  <c r="K1466" i="3"/>
  <c r="L1466" i="3" s="1"/>
  <c r="K1467" i="3"/>
  <c r="L1467" i="3" s="1"/>
  <c r="K1468" i="3"/>
  <c r="L1468" i="3" s="1"/>
  <c r="K1469" i="3"/>
  <c r="L1469" i="3" s="1"/>
  <c r="K1470" i="3"/>
  <c r="L1470" i="3" s="1"/>
  <c r="K1471" i="3"/>
  <c r="L1471" i="3" s="1"/>
  <c r="K1472" i="3"/>
  <c r="L1472" i="3" s="1"/>
  <c r="K1473" i="3"/>
  <c r="L1473" i="3" s="1"/>
  <c r="K1474" i="3"/>
  <c r="L1474" i="3" s="1"/>
  <c r="K1475" i="3"/>
  <c r="L1475" i="3" s="1"/>
  <c r="K1476" i="3"/>
  <c r="L1476" i="3" s="1"/>
  <c r="K1477" i="3"/>
  <c r="L1477" i="3"/>
  <c r="K1478" i="3"/>
  <c r="L1478" i="3" s="1"/>
  <c r="K1479" i="3"/>
  <c r="L1479" i="3" s="1"/>
  <c r="K1480" i="3"/>
  <c r="L1480" i="3" s="1"/>
  <c r="K1481" i="3"/>
  <c r="L1481" i="3" s="1"/>
  <c r="K1482" i="3"/>
  <c r="L1482" i="3" s="1"/>
  <c r="K1483" i="3"/>
  <c r="L1483" i="3" s="1"/>
  <c r="K1484" i="3"/>
  <c r="L1484" i="3" s="1"/>
  <c r="K1485" i="3"/>
  <c r="L1485" i="3" s="1"/>
  <c r="K1486" i="3"/>
  <c r="L1486" i="3" s="1"/>
  <c r="K1487" i="3"/>
  <c r="L1487" i="3" s="1"/>
  <c r="K1488" i="3"/>
  <c r="L1488" i="3" s="1"/>
  <c r="K1489" i="3"/>
  <c r="L1489" i="3" s="1"/>
  <c r="K1490" i="3"/>
  <c r="L1490" i="3" s="1"/>
  <c r="K1491" i="3"/>
  <c r="L1491" i="3" s="1"/>
  <c r="K1492" i="3"/>
  <c r="L1492" i="3" s="1"/>
  <c r="K1493" i="3"/>
  <c r="L1493" i="3" s="1"/>
  <c r="K1494" i="3"/>
  <c r="L1494" i="3" s="1"/>
  <c r="K1495" i="3"/>
  <c r="L1495" i="3" s="1"/>
  <c r="K1496" i="3"/>
  <c r="L1496" i="3" s="1"/>
  <c r="K1497" i="3"/>
  <c r="L1497" i="3" s="1"/>
  <c r="K1498" i="3"/>
  <c r="L1498" i="3" s="1"/>
  <c r="K1499" i="3"/>
  <c r="L1499" i="3" s="1"/>
  <c r="K1500" i="3"/>
  <c r="L1500" i="3" s="1"/>
  <c r="K1501" i="3"/>
  <c r="L1501" i="3" s="1"/>
  <c r="K1502" i="3"/>
  <c r="L1502" i="3" s="1"/>
  <c r="K1503" i="3"/>
  <c r="L1503" i="3" s="1"/>
  <c r="K1504" i="3"/>
  <c r="L1504" i="3" s="1"/>
  <c r="K1505" i="3"/>
  <c r="L1505" i="3" s="1"/>
  <c r="K1506" i="3"/>
  <c r="L1506" i="3" s="1"/>
  <c r="K1507" i="3"/>
  <c r="L1507" i="3" s="1"/>
  <c r="K1508" i="3"/>
  <c r="L1508" i="3" s="1"/>
  <c r="K1509" i="3"/>
  <c r="L1509" i="3" s="1"/>
  <c r="K1510" i="3"/>
  <c r="L1510" i="3" s="1"/>
  <c r="K1511" i="3"/>
  <c r="L1511" i="3" s="1"/>
  <c r="K1512" i="3"/>
  <c r="L1512" i="3" s="1"/>
  <c r="K1513" i="3"/>
  <c r="L1513" i="3" s="1"/>
  <c r="K1514" i="3"/>
  <c r="L1514" i="3" s="1"/>
  <c r="K1515" i="3"/>
  <c r="L1515" i="3" s="1"/>
  <c r="K1516" i="3"/>
  <c r="L1516" i="3" s="1"/>
  <c r="K1517" i="3"/>
  <c r="L1517" i="3" s="1"/>
  <c r="K1518" i="3"/>
  <c r="L1518" i="3" s="1"/>
  <c r="K1519" i="3"/>
  <c r="L1519" i="3" s="1"/>
  <c r="K1520" i="3"/>
  <c r="L1520" i="3" s="1"/>
  <c r="K1521" i="3"/>
  <c r="L1521" i="3" s="1"/>
  <c r="K1522" i="3"/>
  <c r="L1522" i="3" s="1"/>
  <c r="K1523" i="3"/>
  <c r="L1523" i="3" s="1"/>
  <c r="K1524" i="3"/>
  <c r="L1524" i="3" s="1"/>
  <c r="K1525" i="3"/>
  <c r="L1525" i="3" s="1"/>
  <c r="K1526" i="3"/>
  <c r="L1526" i="3"/>
  <c r="K1527" i="3"/>
  <c r="L1527" i="3" s="1"/>
  <c r="K1528" i="3"/>
  <c r="L1528" i="3" s="1"/>
  <c r="K1529" i="3"/>
  <c r="L1529" i="3" s="1"/>
  <c r="K1530" i="3"/>
  <c r="L1530" i="3" s="1"/>
  <c r="K1531" i="3"/>
  <c r="L1531" i="3" s="1"/>
  <c r="K1532" i="3"/>
  <c r="L1532" i="3" s="1"/>
  <c r="K1533" i="3"/>
  <c r="L1533" i="3" s="1"/>
  <c r="K1534" i="3"/>
  <c r="L1534" i="3" s="1"/>
  <c r="K1535" i="3"/>
  <c r="L1535" i="3"/>
  <c r="K1536" i="3"/>
  <c r="L1536" i="3" s="1"/>
  <c r="K1537" i="3"/>
  <c r="L1537" i="3" s="1"/>
  <c r="K1538" i="3"/>
  <c r="L1538" i="3" s="1"/>
  <c r="K1539" i="3"/>
  <c r="L1539" i="3" s="1"/>
  <c r="K1540" i="3"/>
  <c r="L1540" i="3" s="1"/>
  <c r="K1541" i="3"/>
  <c r="L1541" i="3" s="1"/>
  <c r="K1542" i="3"/>
  <c r="L1542" i="3" s="1"/>
  <c r="K1543" i="3"/>
  <c r="L1543" i="3" s="1"/>
  <c r="K1544" i="3"/>
  <c r="L1544" i="3" s="1"/>
  <c r="K1545" i="3"/>
  <c r="L1545" i="3" s="1"/>
  <c r="K1546" i="3"/>
  <c r="L1546" i="3" s="1"/>
  <c r="K1547" i="3"/>
  <c r="L1547" i="3" s="1"/>
  <c r="K1548" i="3"/>
  <c r="L1548" i="3" s="1"/>
  <c r="K1549" i="3"/>
  <c r="L1549" i="3" s="1"/>
  <c r="K1550" i="3"/>
  <c r="L1550" i="3" s="1"/>
  <c r="K1551" i="3"/>
  <c r="L1551" i="3" s="1"/>
  <c r="K1552" i="3"/>
  <c r="L1552" i="3" s="1"/>
  <c r="K1553" i="3"/>
  <c r="L1553" i="3" s="1"/>
  <c r="K1554" i="3"/>
  <c r="L1554" i="3" s="1"/>
  <c r="K1555" i="3"/>
  <c r="L1555" i="3" s="1"/>
  <c r="K1556" i="3"/>
  <c r="L1556" i="3" s="1"/>
  <c r="K1557" i="3"/>
  <c r="L1557" i="3" s="1"/>
  <c r="K1558" i="3"/>
  <c r="L1558" i="3" s="1"/>
  <c r="K1559" i="3"/>
  <c r="L1559" i="3"/>
  <c r="K1560" i="3"/>
  <c r="L1560" i="3" s="1"/>
  <c r="K1561" i="3"/>
  <c r="L1561" i="3" s="1"/>
  <c r="K1562" i="3"/>
  <c r="L1562" i="3" s="1"/>
  <c r="K1563" i="3"/>
  <c r="L1563" i="3" s="1"/>
  <c r="K1564" i="3"/>
  <c r="L1564" i="3" s="1"/>
  <c r="K1565" i="3"/>
  <c r="L1565" i="3" s="1"/>
  <c r="K1566" i="3"/>
  <c r="L1566" i="3" s="1"/>
  <c r="K1567" i="3"/>
  <c r="L1567" i="3" s="1"/>
  <c r="K1568" i="3"/>
  <c r="L1568" i="3" s="1"/>
  <c r="K1569" i="3"/>
  <c r="L1569" i="3" s="1"/>
  <c r="K1570" i="3"/>
  <c r="L1570" i="3" s="1"/>
  <c r="K1571" i="3"/>
  <c r="L1571" i="3" s="1"/>
  <c r="K1572" i="3"/>
  <c r="L1572" i="3" s="1"/>
  <c r="K1573" i="3"/>
  <c r="L1573" i="3" s="1"/>
  <c r="K1574" i="3"/>
  <c r="L1574" i="3" s="1"/>
  <c r="K1575" i="3"/>
  <c r="L1575" i="3" s="1"/>
  <c r="K1576" i="3"/>
  <c r="L1576" i="3" s="1"/>
  <c r="K1577" i="3"/>
  <c r="L1577" i="3" s="1"/>
  <c r="K1578" i="3"/>
  <c r="L1578" i="3" s="1"/>
  <c r="K1579" i="3"/>
  <c r="L1579" i="3" s="1"/>
  <c r="K1580" i="3"/>
  <c r="L1580" i="3" s="1"/>
  <c r="K1581" i="3"/>
  <c r="L1581" i="3" s="1"/>
  <c r="K1582" i="3"/>
  <c r="L1582" i="3" s="1"/>
  <c r="K1583" i="3"/>
  <c r="L1583" i="3" s="1"/>
  <c r="K1584" i="3"/>
  <c r="L1584" i="3" s="1"/>
  <c r="K1585" i="3"/>
  <c r="L1585" i="3" s="1"/>
  <c r="K1586" i="3"/>
  <c r="L1586" i="3" s="1"/>
  <c r="K1587" i="3"/>
  <c r="L1587" i="3" s="1"/>
  <c r="K1588" i="3"/>
  <c r="L1588" i="3" s="1"/>
  <c r="K1589" i="3"/>
  <c r="L1589" i="3" s="1"/>
  <c r="K1590" i="3"/>
  <c r="L1590" i="3" s="1"/>
  <c r="K1591" i="3"/>
  <c r="L1591" i="3" s="1"/>
  <c r="K1592" i="3"/>
  <c r="L1592" i="3" s="1"/>
  <c r="K1593" i="3"/>
  <c r="L1593" i="3" s="1"/>
  <c r="K1594" i="3"/>
  <c r="L1594" i="3" s="1"/>
  <c r="K1595" i="3"/>
  <c r="L1595" i="3" s="1"/>
  <c r="K1596" i="3"/>
  <c r="L1596" i="3" s="1"/>
  <c r="K1597" i="3"/>
  <c r="L1597" i="3" s="1"/>
  <c r="K1598" i="3"/>
  <c r="L1598" i="3" s="1"/>
  <c r="K1599" i="3"/>
  <c r="L1599" i="3" s="1"/>
  <c r="K1600" i="3"/>
  <c r="L1600" i="3" s="1"/>
  <c r="K1601" i="3"/>
  <c r="L1601" i="3" s="1"/>
  <c r="K1602" i="3"/>
  <c r="L1602" i="3" s="1"/>
  <c r="K1603" i="3"/>
  <c r="L1603" i="3" s="1"/>
  <c r="K1604" i="3"/>
  <c r="L1604" i="3" s="1"/>
  <c r="K1605" i="3"/>
  <c r="L1605" i="3" s="1"/>
  <c r="K1606" i="3"/>
  <c r="L1606" i="3" s="1"/>
  <c r="K1607" i="3"/>
  <c r="L1607" i="3" s="1"/>
  <c r="K1608" i="3"/>
  <c r="L1608" i="3" s="1"/>
  <c r="K1609" i="3"/>
  <c r="L1609" i="3" s="1"/>
  <c r="K1610" i="3"/>
  <c r="L1610" i="3" s="1"/>
  <c r="K1611" i="3"/>
  <c r="L1611" i="3" s="1"/>
  <c r="K1612" i="3"/>
  <c r="L1612" i="3" s="1"/>
  <c r="K1613" i="3"/>
  <c r="L1613" i="3" s="1"/>
  <c r="K1614" i="3"/>
  <c r="L1614" i="3" s="1"/>
  <c r="K1615" i="3"/>
  <c r="L1615" i="3" s="1"/>
  <c r="K1616" i="3"/>
  <c r="L1616" i="3" s="1"/>
  <c r="K1617" i="3"/>
  <c r="L1617" i="3" s="1"/>
  <c r="K1618" i="3"/>
  <c r="L1618" i="3" s="1"/>
  <c r="K1619" i="3"/>
  <c r="L1619" i="3" s="1"/>
  <c r="K1620" i="3"/>
  <c r="L1620" i="3" s="1"/>
  <c r="K1621" i="3"/>
  <c r="L1621" i="3" s="1"/>
  <c r="K1622" i="3"/>
  <c r="L1622" i="3" s="1"/>
  <c r="K1623" i="3"/>
  <c r="L1623" i="3" s="1"/>
  <c r="K1624" i="3"/>
  <c r="L1624" i="3" s="1"/>
  <c r="K1625" i="3"/>
  <c r="L1625" i="3" s="1"/>
  <c r="K1626" i="3"/>
  <c r="L1626" i="3" s="1"/>
  <c r="K1627" i="3"/>
  <c r="L1627" i="3" s="1"/>
  <c r="K1628" i="3"/>
  <c r="L1628" i="3" s="1"/>
  <c r="K1629" i="3"/>
  <c r="L1629" i="3" s="1"/>
  <c r="K1630" i="3"/>
  <c r="L1630" i="3" s="1"/>
  <c r="K1631" i="3"/>
  <c r="L1631" i="3" s="1"/>
  <c r="K1632" i="3"/>
  <c r="L1632" i="3"/>
  <c r="K1633" i="3"/>
  <c r="L1633" i="3" s="1"/>
  <c r="K1634" i="3"/>
  <c r="L1634" i="3" s="1"/>
  <c r="K1636" i="3"/>
  <c r="L1636" i="3" s="1"/>
  <c r="K1637" i="3"/>
  <c r="L1637" i="3" s="1"/>
  <c r="K1638" i="3"/>
  <c r="L1638" i="3" s="1"/>
  <c r="K1639" i="3"/>
  <c r="L1639" i="3" s="1"/>
  <c r="K1640" i="3"/>
  <c r="L1640" i="3" s="1"/>
  <c r="K1641" i="3"/>
  <c r="L1641" i="3" s="1"/>
  <c r="K1642" i="3"/>
  <c r="L1642" i="3" s="1"/>
  <c r="K1643" i="3"/>
  <c r="L1643" i="3" s="1"/>
  <c r="K1644" i="3"/>
  <c r="L1644" i="3" s="1"/>
  <c r="K1645" i="3"/>
  <c r="L1645" i="3" s="1"/>
  <c r="K1646" i="3"/>
  <c r="L1646" i="3" s="1"/>
  <c r="K1647" i="3"/>
  <c r="L1647" i="3" s="1"/>
  <c r="K1648" i="3"/>
  <c r="L1648" i="3" s="1"/>
  <c r="K1649" i="3"/>
  <c r="L1649" i="3" s="1"/>
  <c r="K1650" i="3"/>
  <c r="L1650" i="3" s="1"/>
  <c r="K1651" i="3"/>
  <c r="L1651" i="3" s="1"/>
  <c r="K1652" i="3"/>
  <c r="L1652" i="3" s="1"/>
  <c r="K1653" i="3"/>
  <c r="L1653" i="3" s="1"/>
  <c r="K1654" i="3"/>
  <c r="L1654" i="3" s="1"/>
  <c r="K1655" i="3"/>
  <c r="L1655" i="3" s="1"/>
  <c r="K1656" i="3"/>
  <c r="L1656" i="3" s="1"/>
  <c r="K1657" i="3"/>
  <c r="L1657" i="3" s="1"/>
  <c r="K1658" i="3"/>
  <c r="L1658" i="3" s="1"/>
  <c r="K1659" i="3"/>
  <c r="L1659" i="3" s="1"/>
  <c r="K1660" i="3"/>
  <c r="L1660" i="3" s="1"/>
  <c r="K1661" i="3"/>
  <c r="L1661" i="3" s="1"/>
  <c r="K1662" i="3"/>
  <c r="L1662" i="3" s="1"/>
  <c r="K1663" i="3"/>
  <c r="L1663" i="3" s="1"/>
  <c r="K1664" i="3"/>
  <c r="L1664" i="3" s="1"/>
  <c r="K1665" i="3"/>
  <c r="L1665" i="3" s="1"/>
  <c r="K1666" i="3"/>
  <c r="L1666" i="3" s="1"/>
  <c r="K1667" i="3"/>
  <c r="L1667" i="3" s="1"/>
  <c r="K1668" i="3"/>
  <c r="L1668" i="3"/>
  <c r="K1669" i="3"/>
  <c r="L1669" i="3" s="1"/>
  <c r="K1670" i="3"/>
  <c r="L1670" i="3" s="1"/>
  <c r="K1671" i="3"/>
  <c r="L1671" i="3" s="1"/>
  <c r="K1672" i="3"/>
  <c r="L1672" i="3" s="1"/>
  <c r="K1673" i="3"/>
  <c r="L1673" i="3" s="1"/>
  <c r="K1674" i="3"/>
  <c r="L1674" i="3" s="1"/>
  <c r="K1675" i="3"/>
  <c r="L1675" i="3" s="1"/>
  <c r="K1676" i="3"/>
  <c r="L1676" i="3" s="1"/>
  <c r="K1677" i="3"/>
  <c r="L1677" i="3" s="1"/>
  <c r="K1678" i="3"/>
  <c r="L1678" i="3" s="1"/>
  <c r="K1679" i="3"/>
  <c r="L1679" i="3" s="1"/>
  <c r="K1680" i="3"/>
  <c r="L1680" i="3" s="1"/>
  <c r="K1681" i="3"/>
  <c r="L1681" i="3" s="1"/>
  <c r="K1682" i="3"/>
  <c r="L1682" i="3" s="1"/>
  <c r="K1683" i="3"/>
  <c r="L1683" i="3" s="1"/>
  <c r="K1684" i="3"/>
  <c r="L1684" i="3" s="1"/>
  <c r="K1685" i="3"/>
  <c r="L1685" i="3" s="1"/>
  <c r="K1686" i="3"/>
  <c r="L1686" i="3" s="1"/>
  <c r="K1687" i="3"/>
  <c r="L1687" i="3" s="1"/>
  <c r="K1688" i="3"/>
  <c r="L1688" i="3" s="1"/>
  <c r="K1689" i="3"/>
  <c r="L1689" i="3" s="1"/>
  <c r="K1690" i="3"/>
  <c r="L1690" i="3" s="1"/>
  <c r="K1691" i="3"/>
  <c r="L1691" i="3" s="1"/>
  <c r="K1692" i="3"/>
  <c r="L1692" i="3" s="1"/>
  <c r="K1693" i="3"/>
  <c r="L1693" i="3" s="1"/>
  <c r="K1694" i="3"/>
  <c r="L1694" i="3" s="1"/>
  <c r="K1695" i="3"/>
  <c r="L1695" i="3" s="1"/>
  <c r="K1696" i="3"/>
  <c r="L1696" i="3" s="1"/>
  <c r="K1697" i="3"/>
  <c r="L1697" i="3" s="1"/>
  <c r="K1698" i="3"/>
  <c r="L1698" i="3" s="1"/>
  <c r="K1699" i="3"/>
  <c r="L1699" i="3"/>
  <c r="K1700" i="3"/>
  <c r="L1700" i="3" s="1"/>
  <c r="K1701" i="3"/>
  <c r="L1701" i="3" s="1"/>
  <c r="K1702" i="3"/>
  <c r="L1702" i="3" s="1"/>
  <c r="K1703" i="3"/>
  <c r="L1703" i="3" s="1"/>
  <c r="K1704" i="3"/>
  <c r="L1704" i="3" s="1"/>
  <c r="K1705" i="3"/>
  <c r="L1705" i="3" s="1"/>
  <c r="K1706" i="3"/>
  <c r="L1706" i="3"/>
  <c r="G1635" i="3"/>
  <c r="K1635" i="3" s="1"/>
  <c r="L1635" i="3" s="1"/>
  <c r="K111" i="3"/>
  <c r="L111" i="3" s="1"/>
  <c r="K112" i="3"/>
  <c r="L112" i="3" s="1"/>
  <c r="K113" i="3"/>
  <c r="L113" i="3" s="1"/>
  <c r="K114" i="3"/>
  <c r="L114" i="3" s="1"/>
  <c r="K115" i="3"/>
  <c r="L115" i="3" s="1"/>
  <c r="K116" i="3"/>
  <c r="L116" i="3" s="1"/>
  <c r="K117" i="3"/>
  <c r="L117" i="3" s="1"/>
  <c r="K118" i="3"/>
  <c r="L118" i="3" s="1"/>
  <c r="K120" i="3"/>
  <c r="L120" i="3" s="1"/>
  <c r="K121" i="3"/>
  <c r="L121" i="3" s="1"/>
  <c r="K123" i="3"/>
  <c r="L123" i="3" s="1"/>
  <c r="K124" i="3"/>
  <c r="L124" i="3" s="1"/>
  <c r="K125" i="3"/>
  <c r="L125" i="3" s="1"/>
  <c r="K130" i="3"/>
  <c r="L130" i="3" s="1"/>
  <c r="K131" i="3"/>
  <c r="L131" i="3" s="1"/>
  <c r="K132" i="3"/>
  <c r="L132" i="3" s="1"/>
  <c r="K134" i="3"/>
  <c r="L134" i="3" s="1"/>
  <c r="K135" i="3"/>
  <c r="L135" i="3" s="1"/>
  <c r="K136" i="3"/>
  <c r="L136" i="3" s="1"/>
  <c r="K137" i="3"/>
  <c r="L137" i="3" s="1"/>
  <c r="K138" i="3"/>
  <c r="L138" i="3" s="1"/>
  <c r="K139" i="3"/>
  <c r="L139" i="3" s="1"/>
  <c r="K141" i="3"/>
  <c r="L141" i="3" s="1"/>
  <c r="K145" i="3"/>
  <c r="L145" i="3" s="1"/>
  <c r="K146" i="3"/>
  <c r="L146" i="3" s="1"/>
  <c r="K147" i="3"/>
  <c r="L147" i="3" s="1"/>
  <c r="K151" i="3"/>
  <c r="L151" i="3" s="1"/>
  <c r="K153" i="3"/>
  <c r="L153" i="3" s="1"/>
  <c r="K154" i="3"/>
  <c r="L154" i="3" s="1"/>
  <c r="K156" i="3"/>
  <c r="L156" i="3" s="1"/>
  <c r="K157" i="3"/>
  <c r="L157" i="3" s="1"/>
  <c r="K159" i="3"/>
  <c r="L159" i="3" s="1"/>
  <c r="K160" i="3"/>
  <c r="L160" i="3" s="1"/>
  <c r="K161" i="3"/>
  <c r="L161" i="3" s="1"/>
  <c r="K162" i="3"/>
  <c r="L162" i="3" s="1"/>
  <c r="K163" i="3"/>
  <c r="L163" i="3" s="1"/>
  <c r="K164" i="3"/>
  <c r="L164" i="3" s="1"/>
  <c r="K167" i="3"/>
  <c r="L167" i="3" s="1"/>
  <c r="K168" i="3"/>
  <c r="L168" i="3" s="1"/>
  <c r="K170" i="3"/>
  <c r="L170" i="3" s="1"/>
  <c r="K171" i="3"/>
  <c r="L171" i="3" s="1"/>
  <c r="K173" i="3"/>
  <c r="L173" i="3" s="1"/>
  <c r="K176" i="3"/>
  <c r="L176" i="3" s="1"/>
  <c r="K178" i="3"/>
  <c r="L178" i="3" s="1"/>
  <c r="K179" i="3"/>
  <c r="L179" i="3" s="1"/>
  <c r="K180" i="3"/>
  <c r="L180" i="3" s="1"/>
  <c r="K182" i="3"/>
  <c r="L182" i="3" s="1"/>
  <c r="K185" i="3"/>
  <c r="L185" i="3" s="1"/>
  <c r="K186" i="3"/>
  <c r="L186" i="3" s="1"/>
  <c r="K187" i="3"/>
  <c r="L187" i="3" s="1"/>
  <c r="K188" i="3"/>
  <c r="L188" i="3" s="1"/>
  <c r="K190" i="3"/>
  <c r="L190" i="3" s="1"/>
  <c r="K194" i="3"/>
  <c r="L194" i="3" s="1"/>
  <c r="K200" i="3"/>
  <c r="L200" i="3" s="1"/>
  <c r="K201" i="3"/>
  <c r="L201" i="3" s="1"/>
  <c r="K202" i="3"/>
  <c r="L202" i="3" s="1"/>
  <c r="K203" i="3"/>
  <c r="L203" i="3" s="1"/>
  <c r="K204" i="3"/>
  <c r="L204" i="3" s="1"/>
  <c r="K205" i="3"/>
  <c r="L205" i="3" s="1"/>
  <c r="K206" i="3"/>
  <c r="L206" i="3" s="1"/>
  <c r="K207" i="3"/>
  <c r="L207" i="3" s="1"/>
  <c r="K212" i="3"/>
  <c r="L212" i="3" s="1"/>
  <c r="K213" i="3"/>
  <c r="L213" i="3" s="1"/>
  <c r="K214" i="3"/>
  <c r="L214" i="3" s="1"/>
  <c r="K215" i="3"/>
  <c r="L215" i="3" s="1"/>
  <c r="K216" i="3"/>
  <c r="L216" i="3" s="1"/>
  <c r="K217" i="3"/>
  <c r="L217" i="3" s="1"/>
  <c r="K220" i="3"/>
  <c r="L220" i="3" s="1"/>
  <c r="K221" i="3"/>
  <c r="L221" i="3" s="1"/>
  <c r="K222" i="3"/>
  <c r="L222" i="3" s="1"/>
  <c r="K223" i="3"/>
  <c r="L223" i="3" s="1"/>
  <c r="K224" i="3"/>
  <c r="L224" i="3" s="1"/>
  <c r="K226" i="3"/>
  <c r="L226" i="3" s="1"/>
  <c r="K227" i="3"/>
  <c r="L227" i="3" s="1"/>
  <c r="K228" i="3"/>
  <c r="L228" i="3" s="1"/>
  <c r="K229" i="3"/>
  <c r="L229" i="3" s="1"/>
  <c r="K230" i="3"/>
  <c r="L230" i="3" s="1"/>
  <c r="K231" i="3"/>
  <c r="L231" i="3" s="1"/>
  <c r="K232" i="3"/>
  <c r="L232" i="3" s="1"/>
  <c r="K233" i="3"/>
  <c r="L233" i="3" s="1"/>
  <c r="K235" i="3"/>
  <c r="L235" i="3" s="1"/>
  <c r="K236" i="3"/>
  <c r="L236" i="3" s="1"/>
  <c r="K238" i="3"/>
  <c r="L238" i="3" s="1"/>
  <c r="K240" i="3"/>
  <c r="L240" i="3" s="1"/>
  <c r="K241" i="3"/>
  <c r="L241" i="3" s="1"/>
  <c r="K242" i="3"/>
  <c r="L242" i="3" s="1"/>
  <c r="K243" i="3"/>
  <c r="L243" i="3" s="1"/>
  <c r="K244" i="3"/>
  <c r="L244" i="3" s="1"/>
  <c r="K247" i="3"/>
  <c r="L247" i="3" s="1"/>
  <c r="K249" i="3"/>
  <c r="L249" i="3" s="1"/>
  <c r="K251" i="3"/>
  <c r="L251" i="3" s="1"/>
  <c r="K252" i="3"/>
  <c r="L252" i="3" s="1"/>
  <c r="K253" i="3"/>
  <c r="L253" i="3" s="1"/>
  <c r="K254" i="3"/>
  <c r="L254" i="3" s="1"/>
  <c r="K256" i="3"/>
  <c r="L256" i="3" s="1"/>
  <c r="K257" i="3"/>
  <c r="L257" i="3" s="1"/>
  <c r="K258" i="3"/>
  <c r="L258" i="3" s="1"/>
  <c r="K259" i="3"/>
  <c r="L259" i="3" s="1"/>
  <c r="K260" i="3"/>
  <c r="L260" i="3" s="1"/>
  <c r="K261" i="3"/>
  <c r="L261" i="3" s="1"/>
  <c r="K262" i="3"/>
  <c r="L262" i="3" s="1"/>
  <c r="K263" i="3"/>
  <c r="L263" i="3" s="1"/>
  <c r="K268" i="3"/>
  <c r="L268" i="3" s="1"/>
  <c r="K269" i="3"/>
  <c r="L269" i="3" s="1"/>
  <c r="K271" i="3"/>
  <c r="L271" i="3" s="1"/>
  <c r="K272" i="3"/>
  <c r="L272" i="3" s="1"/>
  <c r="K273" i="3"/>
  <c r="L273" i="3" s="1"/>
  <c r="K274" i="3"/>
  <c r="L274" i="3" s="1"/>
  <c r="K275" i="3"/>
  <c r="L275" i="3" s="1"/>
  <c r="K276" i="3"/>
  <c r="L276" i="3" s="1"/>
  <c r="K277" i="3"/>
  <c r="L277" i="3" s="1"/>
  <c r="K278" i="3"/>
  <c r="L278" i="3" s="1"/>
  <c r="K279" i="3"/>
  <c r="L279" i="3" s="1"/>
  <c r="K280" i="3"/>
  <c r="L280" i="3" s="1"/>
  <c r="K281" i="3"/>
  <c r="L281" i="3" s="1"/>
  <c r="K282" i="3"/>
  <c r="L282" i="3" s="1"/>
  <c r="K285" i="3"/>
  <c r="L285" i="3" s="1"/>
  <c r="K286" i="3"/>
  <c r="L286" i="3" s="1"/>
  <c r="K288" i="3"/>
  <c r="L288" i="3" s="1"/>
  <c r="K290" i="3"/>
  <c r="L290" i="3" s="1"/>
  <c r="K291" i="3"/>
  <c r="L291" i="3" s="1"/>
  <c r="K294" i="3"/>
  <c r="L294" i="3" s="1"/>
  <c r="K296" i="3"/>
  <c r="L296" i="3" s="1"/>
  <c r="K297" i="3"/>
  <c r="L297" i="3" s="1"/>
  <c r="K298" i="3"/>
  <c r="L298" i="3" s="1"/>
  <c r="K299" i="3"/>
  <c r="L299" i="3" s="1"/>
  <c r="K300" i="3"/>
  <c r="L300" i="3" s="1"/>
  <c r="K301" i="3"/>
  <c r="L301" i="3" s="1"/>
  <c r="K302" i="3"/>
  <c r="L302" i="3" s="1"/>
  <c r="K303" i="3"/>
  <c r="L303" i="3" s="1"/>
  <c r="K304" i="3"/>
  <c r="L304" i="3" s="1"/>
  <c r="K305" i="3"/>
  <c r="L305" i="3" s="1"/>
  <c r="K306" i="3"/>
  <c r="L306" i="3" s="1"/>
  <c r="K307" i="3"/>
  <c r="L307" i="3" s="1"/>
  <c r="K308" i="3"/>
  <c r="L308" i="3" s="1"/>
  <c r="K309" i="3"/>
  <c r="L309" i="3" s="1"/>
  <c r="K311" i="3"/>
  <c r="L311" i="3" s="1"/>
  <c r="K312" i="3"/>
  <c r="L312" i="3" s="1"/>
  <c r="K313" i="3"/>
  <c r="L313" i="3" s="1"/>
  <c r="K314" i="3"/>
  <c r="L314" i="3" s="1"/>
  <c r="K315" i="3"/>
  <c r="L315" i="3" s="1"/>
  <c r="K316" i="3"/>
  <c r="L316" i="3" s="1"/>
  <c r="K317" i="3"/>
  <c r="L317" i="3" s="1"/>
  <c r="K318" i="3"/>
  <c r="L318" i="3" s="1"/>
  <c r="K319" i="3"/>
  <c r="L319" i="3" s="1"/>
  <c r="K321" i="3"/>
  <c r="L321" i="3" s="1"/>
  <c r="K322" i="3"/>
  <c r="L322" i="3" s="1"/>
  <c r="K323" i="3"/>
  <c r="L323" i="3" s="1"/>
  <c r="K324" i="3"/>
  <c r="L324" i="3" s="1"/>
  <c r="K325" i="3"/>
  <c r="L325" i="3" s="1"/>
  <c r="K326" i="3"/>
  <c r="L326" i="3" s="1"/>
  <c r="K327" i="3"/>
  <c r="L327" i="3" s="1"/>
  <c r="K328" i="3"/>
  <c r="L328" i="3" s="1"/>
  <c r="K330" i="3"/>
  <c r="L330" i="3" s="1"/>
  <c r="K331" i="3"/>
  <c r="L331" i="3" s="1"/>
  <c r="K332" i="3"/>
  <c r="L332" i="3" s="1"/>
  <c r="K333" i="3"/>
  <c r="L333" i="3" s="1"/>
  <c r="K334" i="3"/>
  <c r="L334" i="3" s="1"/>
  <c r="K335" i="3"/>
  <c r="L335" i="3" s="1"/>
  <c r="K336" i="3"/>
  <c r="L336" i="3" s="1"/>
  <c r="K337" i="3"/>
  <c r="L337" i="3" s="1"/>
  <c r="K339" i="3"/>
  <c r="L339" i="3" s="1"/>
  <c r="K341" i="3"/>
  <c r="L341" i="3" s="1"/>
  <c r="K345" i="3"/>
  <c r="L345" i="3" s="1"/>
  <c r="K346" i="3"/>
  <c r="L346" i="3" s="1"/>
  <c r="K347" i="3"/>
  <c r="L347" i="3" s="1"/>
  <c r="K349" i="3"/>
  <c r="L349" i="3" s="1"/>
  <c r="K350" i="3"/>
  <c r="L350" i="3" s="1"/>
  <c r="K351" i="3"/>
  <c r="L351" i="3" s="1"/>
  <c r="K352" i="3"/>
  <c r="L352" i="3" s="1"/>
  <c r="K353" i="3"/>
  <c r="L353" i="3" s="1"/>
  <c r="K354" i="3"/>
  <c r="L354" i="3" s="1"/>
  <c r="K355" i="3"/>
  <c r="L355" i="3" s="1"/>
  <c r="K356" i="3"/>
  <c r="L356" i="3" s="1"/>
  <c r="K357" i="3"/>
  <c r="L357" i="3" s="1"/>
  <c r="K358" i="3"/>
  <c r="L358" i="3" s="1"/>
  <c r="K360" i="3"/>
  <c r="L360" i="3" s="1"/>
  <c r="K362" i="3"/>
  <c r="L362" i="3" s="1"/>
  <c r="K363" i="3"/>
  <c r="L363" i="3" s="1"/>
  <c r="K364" i="3"/>
  <c r="L364" i="3" s="1"/>
  <c r="K365" i="3"/>
  <c r="L365" i="3" s="1"/>
  <c r="K366" i="3"/>
  <c r="L366" i="3" s="1"/>
  <c r="K367" i="3"/>
  <c r="L367" i="3" s="1"/>
  <c r="K369" i="3"/>
  <c r="L369" i="3" s="1"/>
  <c r="K370" i="3"/>
  <c r="L370" i="3" s="1"/>
  <c r="K371" i="3"/>
  <c r="L371" i="3" s="1"/>
  <c r="K372" i="3"/>
  <c r="L372" i="3" s="1"/>
  <c r="K373" i="3"/>
  <c r="L373" i="3" s="1"/>
  <c r="K375" i="3"/>
  <c r="L375" i="3" s="1"/>
  <c r="K376" i="3"/>
  <c r="L376" i="3" s="1"/>
  <c r="K377" i="3"/>
  <c r="L377" i="3" s="1"/>
  <c r="K378" i="3"/>
  <c r="L378" i="3" s="1"/>
  <c r="K381" i="3"/>
  <c r="L381" i="3" s="1"/>
  <c r="K384" i="3"/>
  <c r="L384" i="3" s="1"/>
  <c r="K385" i="3"/>
  <c r="L385" i="3" s="1"/>
  <c r="K386" i="3"/>
  <c r="L386" i="3" s="1"/>
  <c r="K387" i="3"/>
  <c r="L387" i="3" s="1"/>
  <c r="K388" i="3"/>
  <c r="L388" i="3" s="1"/>
  <c r="K389" i="3"/>
  <c r="L389" i="3" s="1"/>
  <c r="K390" i="3"/>
  <c r="L390" i="3" s="1"/>
  <c r="K392" i="3"/>
  <c r="L392" i="3" s="1"/>
  <c r="K393" i="3"/>
  <c r="L393" i="3" s="1"/>
  <c r="K394" i="3"/>
  <c r="L394" i="3" s="1"/>
  <c r="K395" i="3"/>
  <c r="L395" i="3" s="1"/>
  <c r="K396" i="3"/>
  <c r="L396" i="3" s="1"/>
  <c r="K397" i="3"/>
  <c r="L397" i="3" s="1"/>
  <c r="K398" i="3"/>
  <c r="L398" i="3" s="1"/>
  <c r="K400" i="3"/>
  <c r="L400" i="3" s="1"/>
  <c r="K401" i="3"/>
  <c r="L401" i="3" s="1"/>
  <c r="K402" i="3"/>
  <c r="L402" i="3" s="1"/>
  <c r="K403" i="3"/>
  <c r="L403" i="3" s="1"/>
  <c r="K407" i="3"/>
  <c r="K408" i="3"/>
  <c r="L408" i="3" s="1"/>
  <c r="K411" i="3"/>
  <c r="L411" i="3" s="1"/>
  <c r="K412" i="3"/>
  <c r="L412" i="3" s="1"/>
  <c r="K413" i="3"/>
  <c r="L413" i="3" s="1"/>
  <c r="K414" i="3"/>
  <c r="L414" i="3" s="1"/>
  <c r="K415" i="3"/>
  <c r="L415" i="3" s="1"/>
  <c r="K417" i="3"/>
  <c r="L417" i="3" s="1"/>
  <c r="K418" i="3"/>
  <c r="L418" i="3" s="1"/>
  <c r="K419" i="3"/>
  <c r="L419" i="3" s="1"/>
  <c r="K420" i="3"/>
  <c r="L420" i="3" s="1"/>
  <c r="K423" i="3"/>
  <c r="L423" i="3" s="1"/>
  <c r="K424" i="3"/>
  <c r="L424" i="3" s="1"/>
  <c r="K425" i="3"/>
  <c r="L425" i="3" s="1"/>
  <c r="K427" i="3"/>
  <c r="L427" i="3" s="1"/>
  <c r="K428" i="3"/>
  <c r="L428" i="3" s="1"/>
  <c r="K430" i="3"/>
  <c r="L430" i="3" s="1"/>
  <c r="K431" i="3"/>
  <c r="L431" i="3" s="1"/>
  <c r="K432" i="3"/>
  <c r="L432" i="3" s="1"/>
  <c r="K433" i="3"/>
  <c r="L433" i="3" s="1"/>
  <c r="K434" i="3"/>
  <c r="L434" i="3" s="1"/>
  <c r="K435" i="3"/>
  <c r="L435" i="3" s="1"/>
  <c r="K437" i="3"/>
  <c r="L437" i="3" s="1"/>
  <c r="K439" i="3"/>
  <c r="L439" i="3" s="1"/>
  <c r="K440" i="3"/>
  <c r="L440" i="3" s="1"/>
  <c r="K441" i="3"/>
  <c r="L441" i="3" s="1"/>
  <c r="K444" i="3"/>
  <c r="L444" i="3" s="1"/>
  <c r="K446" i="3"/>
  <c r="L446" i="3" s="1"/>
  <c r="K448" i="3"/>
  <c r="L448" i="3" s="1"/>
  <c r="K449" i="3"/>
  <c r="L449" i="3" s="1"/>
  <c r="K450" i="3"/>
  <c r="L450" i="3" s="1"/>
  <c r="K451" i="3"/>
  <c r="L451" i="3" s="1"/>
  <c r="K452" i="3"/>
  <c r="L452" i="3" s="1"/>
  <c r="K453" i="3"/>
  <c r="L453" i="3" s="1"/>
  <c r="K455" i="3"/>
  <c r="L455" i="3" s="1"/>
  <c r="K456" i="3"/>
  <c r="L456" i="3" s="1"/>
  <c r="K457" i="3"/>
  <c r="L457" i="3" s="1"/>
  <c r="K458" i="3"/>
  <c r="L458" i="3" s="1"/>
  <c r="K459" i="3"/>
  <c r="L459" i="3" s="1"/>
  <c r="K460" i="3"/>
  <c r="L460" i="3" s="1"/>
  <c r="K461" i="3"/>
  <c r="L461" i="3" s="1"/>
  <c r="K462" i="3"/>
  <c r="K463" i="3"/>
  <c r="L463" i="3" s="1"/>
  <c r="K465" i="3"/>
  <c r="L465" i="3" s="1"/>
  <c r="K467" i="3"/>
  <c r="L467" i="3" s="1"/>
  <c r="K468" i="3"/>
  <c r="L468" i="3" s="1"/>
  <c r="K470" i="3"/>
  <c r="L470" i="3" s="1"/>
  <c r="K473" i="3"/>
  <c r="L473" i="3" s="1"/>
  <c r="K475" i="3"/>
  <c r="L475" i="3" s="1"/>
  <c r="K476" i="3"/>
  <c r="L476" i="3" s="1"/>
  <c r="K477" i="3"/>
  <c r="L477" i="3" s="1"/>
  <c r="K479" i="3"/>
  <c r="L479" i="3" s="1"/>
  <c r="K480" i="3"/>
  <c r="L480" i="3" s="1"/>
  <c r="K481" i="3"/>
  <c r="L481" i="3" s="1"/>
  <c r="K482" i="3"/>
  <c r="L482" i="3" s="1"/>
  <c r="K484" i="3"/>
  <c r="L484" i="3" s="1"/>
  <c r="K486" i="3"/>
  <c r="L486" i="3" s="1"/>
  <c r="K488" i="3"/>
  <c r="L488" i="3" s="1"/>
  <c r="K490" i="3"/>
  <c r="L490" i="3" s="1"/>
  <c r="K492" i="3"/>
  <c r="L492" i="3" s="1"/>
  <c r="K493" i="3"/>
  <c r="L493" i="3" s="1"/>
  <c r="K494" i="3"/>
  <c r="L494" i="3" s="1"/>
  <c r="K495" i="3"/>
  <c r="L495" i="3" s="1"/>
  <c r="K496" i="3"/>
  <c r="L496" i="3" s="1"/>
  <c r="K498" i="3"/>
  <c r="L498" i="3" s="1"/>
  <c r="K499" i="3"/>
  <c r="L499" i="3" s="1"/>
  <c r="K501" i="3"/>
  <c r="L501" i="3" s="1"/>
  <c r="K503" i="3"/>
  <c r="L503" i="3" s="1"/>
  <c r="K505" i="3"/>
  <c r="L505" i="3" s="1"/>
  <c r="K506" i="3"/>
  <c r="L506" i="3" s="1"/>
  <c r="K507" i="3"/>
  <c r="L507" i="3" s="1"/>
  <c r="K508" i="3"/>
  <c r="L508" i="3" s="1"/>
  <c r="K509" i="3"/>
  <c r="L509" i="3" s="1"/>
  <c r="K510" i="3"/>
  <c r="L510" i="3" s="1"/>
  <c r="K511" i="3"/>
  <c r="L511" i="3" s="1"/>
  <c r="K513" i="3"/>
  <c r="L513" i="3" s="1"/>
  <c r="K514" i="3"/>
  <c r="L514" i="3" s="1"/>
  <c r="K515" i="3"/>
  <c r="L515" i="3" s="1"/>
  <c r="K516" i="3"/>
  <c r="L516" i="3" s="1"/>
  <c r="K518" i="3"/>
  <c r="L518" i="3" s="1"/>
  <c r="K519" i="3"/>
  <c r="L519" i="3" s="1"/>
  <c r="K520" i="3"/>
  <c r="L520" i="3" s="1"/>
  <c r="K521" i="3"/>
  <c r="L521" i="3" s="1"/>
  <c r="K523" i="3"/>
  <c r="L523" i="3" s="1"/>
  <c r="K524" i="3"/>
  <c r="L524" i="3" s="1"/>
  <c r="K525" i="3"/>
  <c r="L525" i="3" s="1"/>
  <c r="K527" i="3"/>
  <c r="L527" i="3" s="1"/>
  <c r="K528" i="3"/>
  <c r="L528" i="3" s="1"/>
  <c r="K530" i="3"/>
  <c r="L530" i="3" s="1"/>
  <c r="K533" i="3"/>
  <c r="L533" i="3" s="1"/>
  <c r="K534" i="3"/>
  <c r="L534" i="3" s="1"/>
  <c r="K535" i="3"/>
  <c r="L535" i="3" s="1"/>
  <c r="K538" i="3"/>
  <c r="L538" i="3" s="1"/>
  <c r="K540" i="3"/>
  <c r="L540" i="3" s="1"/>
  <c r="K544" i="3"/>
  <c r="L544" i="3" s="1"/>
  <c r="K545" i="3"/>
  <c r="L545" i="3" s="1"/>
  <c r="K546" i="3"/>
  <c r="L546" i="3" s="1"/>
  <c r="K547" i="3"/>
  <c r="L547" i="3" s="1"/>
  <c r="K548" i="3"/>
  <c r="L548" i="3" s="1"/>
  <c r="K549" i="3"/>
  <c r="L549" i="3" s="1"/>
  <c r="K550" i="3"/>
  <c r="L550" i="3" s="1"/>
  <c r="K551" i="3"/>
  <c r="L551" i="3" s="1"/>
  <c r="K552" i="3"/>
  <c r="L552" i="3" s="1"/>
  <c r="K553" i="3"/>
  <c r="L553" i="3" s="1"/>
  <c r="K554" i="3"/>
  <c r="L554" i="3" s="1"/>
  <c r="K555" i="3"/>
  <c r="L555" i="3" s="1"/>
  <c r="K556" i="3"/>
  <c r="L556" i="3" s="1"/>
  <c r="K558" i="3"/>
  <c r="L558" i="3" s="1"/>
  <c r="K559" i="3"/>
  <c r="L559" i="3" s="1"/>
  <c r="K560" i="3"/>
  <c r="L560" i="3" s="1"/>
  <c r="K561" i="3"/>
  <c r="L561" i="3" s="1"/>
  <c r="K562" i="3"/>
  <c r="L562" i="3" s="1"/>
  <c r="K564" i="3"/>
  <c r="L564" i="3" s="1"/>
  <c r="K565" i="3"/>
  <c r="L565" i="3" s="1"/>
  <c r="K567" i="3"/>
  <c r="L567" i="3" s="1"/>
  <c r="K569" i="3"/>
  <c r="L569" i="3" s="1"/>
  <c r="K570" i="3"/>
  <c r="L570" i="3" s="1"/>
  <c r="K571" i="3"/>
  <c r="L571" i="3" s="1"/>
  <c r="K573" i="3"/>
  <c r="L573" i="3" s="1"/>
  <c r="K574" i="3"/>
  <c r="L574" i="3" s="1"/>
  <c r="K576" i="3"/>
  <c r="L576" i="3" s="1"/>
  <c r="K577" i="3"/>
  <c r="L577" i="3" s="1"/>
  <c r="K578" i="3"/>
  <c r="L578" i="3" s="1"/>
  <c r="K579" i="3"/>
  <c r="L579" i="3" s="1"/>
  <c r="K580" i="3"/>
  <c r="L580" i="3" s="1"/>
  <c r="K581" i="3"/>
  <c r="L581" i="3" s="1"/>
  <c r="K582" i="3"/>
  <c r="L582" i="3" s="1"/>
  <c r="K586" i="3"/>
  <c r="L586" i="3" s="1"/>
  <c r="K587" i="3"/>
  <c r="L587" i="3" s="1"/>
  <c r="K590" i="3"/>
  <c r="L590" i="3" s="1"/>
  <c r="K591" i="3"/>
  <c r="L591" i="3" s="1"/>
  <c r="K592" i="3"/>
  <c r="L592" i="3" s="1"/>
  <c r="K594" i="3"/>
  <c r="L594" i="3" s="1"/>
  <c r="K595" i="3"/>
  <c r="L595" i="3" s="1"/>
  <c r="K596" i="3"/>
  <c r="L596" i="3" s="1"/>
  <c r="K602" i="3"/>
  <c r="L602" i="3" s="1"/>
  <c r="K603" i="3"/>
  <c r="L603" i="3" s="1"/>
  <c r="K604" i="3"/>
  <c r="L604" i="3" s="1"/>
  <c r="K608" i="3"/>
  <c r="L608" i="3" s="1"/>
  <c r="K609" i="3"/>
  <c r="L609" i="3" s="1"/>
  <c r="K611" i="3"/>
  <c r="L611" i="3" s="1"/>
  <c r="K612" i="3"/>
  <c r="L612" i="3" s="1"/>
  <c r="K613" i="3"/>
  <c r="L613" i="3" s="1"/>
  <c r="K614" i="3"/>
  <c r="L614" i="3" s="1"/>
  <c r="K615" i="3"/>
  <c r="L615" i="3" s="1"/>
  <c r="K616" i="3"/>
  <c r="L616" i="3" s="1"/>
  <c r="K617" i="3"/>
  <c r="L617" i="3" s="1"/>
  <c r="K618" i="3"/>
  <c r="L618" i="3" s="1"/>
  <c r="K619" i="3"/>
  <c r="L619" i="3" s="1"/>
  <c r="K620" i="3"/>
  <c r="L620" i="3" s="1"/>
  <c r="K621" i="3"/>
  <c r="L621" i="3" s="1"/>
  <c r="K622" i="3"/>
  <c r="L622" i="3" s="1"/>
  <c r="K623" i="3"/>
  <c r="L623" i="3" s="1"/>
  <c r="K624" i="3"/>
  <c r="L624" i="3" s="1"/>
  <c r="K625" i="3"/>
  <c r="L625" i="3" s="1"/>
  <c r="K626" i="3"/>
  <c r="L626" i="3" s="1"/>
  <c r="K627" i="3"/>
  <c r="L627" i="3" s="1"/>
  <c r="K628" i="3"/>
  <c r="L628" i="3" s="1"/>
  <c r="K632" i="3"/>
  <c r="L632" i="3" s="1"/>
  <c r="K633" i="3"/>
  <c r="L633" i="3" s="1"/>
  <c r="K634" i="3"/>
  <c r="L634" i="3" s="1"/>
  <c r="K637" i="3"/>
  <c r="L637" i="3" s="1"/>
  <c r="K638" i="3"/>
  <c r="L638" i="3" s="1"/>
  <c r="K639" i="3"/>
  <c r="L639" i="3" s="1"/>
  <c r="K640" i="3"/>
  <c r="L640" i="3" s="1"/>
  <c r="K641" i="3"/>
  <c r="L641" i="3" s="1"/>
  <c r="K643" i="3"/>
  <c r="L643" i="3" s="1"/>
  <c r="K644" i="3"/>
  <c r="L644" i="3" s="1"/>
  <c r="K645" i="3"/>
  <c r="L645" i="3" s="1"/>
  <c r="K646" i="3"/>
  <c r="L646" i="3" s="1"/>
  <c r="K647" i="3"/>
  <c r="L647" i="3" s="1"/>
  <c r="K648" i="3"/>
  <c r="L648" i="3" s="1"/>
  <c r="K651" i="3"/>
  <c r="L651" i="3" s="1"/>
  <c r="K652" i="3"/>
  <c r="L652" i="3" s="1"/>
  <c r="K653" i="3"/>
  <c r="L653" i="3" s="1"/>
  <c r="K654" i="3"/>
  <c r="L654" i="3" s="1"/>
  <c r="K656" i="3"/>
  <c r="L656" i="3" s="1"/>
  <c r="K657" i="3"/>
  <c r="L657" i="3" s="1"/>
  <c r="K658" i="3"/>
  <c r="L658" i="3" s="1"/>
  <c r="K660" i="3"/>
  <c r="L660" i="3" s="1"/>
  <c r="K661" i="3"/>
  <c r="L661" i="3" s="1"/>
  <c r="K663" i="3"/>
  <c r="L663" i="3" s="1"/>
  <c r="K664" i="3"/>
  <c r="L664" i="3" s="1"/>
  <c r="K665" i="3"/>
  <c r="L665" i="3" s="1"/>
  <c r="K666" i="3"/>
  <c r="L666" i="3" s="1"/>
  <c r="K667" i="3"/>
  <c r="L667" i="3" s="1"/>
  <c r="K668" i="3"/>
  <c r="L668" i="3" s="1"/>
  <c r="K669" i="3"/>
  <c r="L669" i="3" s="1"/>
  <c r="K670" i="3"/>
  <c r="L670" i="3" s="1"/>
  <c r="K672" i="3"/>
  <c r="L672" i="3" s="1"/>
  <c r="K673" i="3"/>
  <c r="L673" i="3" s="1"/>
  <c r="K674" i="3"/>
  <c r="L674" i="3" s="1"/>
  <c r="K676" i="3"/>
  <c r="L676" i="3" s="1"/>
  <c r="K677" i="3"/>
  <c r="L677" i="3" s="1"/>
  <c r="K679" i="3"/>
  <c r="L679" i="3" s="1"/>
  <c r="K680" i="3"/>
  <c r="L680" i="3" s="1"/>
  <c r="K681" i="3"/>
  <c r="L681" i="3" s="1"/>
  <c r="K682" i="3"/>
  <c r="L682" i="3" s="1"/>
  <c r="K684" i="3"/>
  <c r="L684" i="3" s="1"/>
  <c r="K685" i="3"/>
  <c r="L685" i="3" s="1"/>
  <c r="K686" i="3"/>
  <c r="L686" i="3" s="1"/>
  <c r="K687" i="3"/>
  <c r="L687" i="3" s="1"/>
  <c r="K689" i="3"/>
  <c r="L689" i="3" s="1"/>
  <c r="K690" i="3"/>
  <c r="L690" i="3" s="1"/>
  <c r="K691" i="3"/>
  <c r="L691" i="3" s="1"/>
  <c r="K692" i="3"/>
  <c r="L692" i="3" s="1"/>
  <c r="K693" i="3"/>
  <c r="L693" i="3" s="1"/>
  <c r="K694" i="3"/>
  <c r="L694" i="3" s="1"/>
  <c r="K696" i="3"/>
  <c r="L696" i="3" s="1"/>
  <c r="K698" i="3"/>
  <c r="L698" i="3" s="1"/>
  <c r="K699" i="3"/>
  <c r="L699" i="3" s="1"/>
  <c r="K700" i="3"/>
  <c r="L700" i="3" s="1"/>
  <c r="K703" i="3"/>
  <c r="L703" i="3" s="1"/>
  <c r="K704" i="3"/>
  <c r="L704" i="3" s="1"/>
  <c r="K705" i="3"/>
  <c r="L705" i="3" s="1"/>
  <c r="K706" i="3"/>
  <c r="L706" i="3" s="1"/>
  <c r="K708" i="3"/>
  <c r="L708" i="3" s="1"/>
  <c r="K709" i="3"/>
  <c r="L709" i="3" s="1"/>
  <c r="K711" i="3"/>
  <c r="L711" i="3" s="1"/>
  <c r="K713" i="3"/>
  <c r="L713" i="3" s="1"/>
  <c r="K714" i="3"/>
  <c r="L714" i="3" s="1"/>
  <c r="K716" i="3"/>
  <c r="L716" i="3" s="1"/>
  <c r="K717" i="3"/>
  <c r="L717" i="3" s="1"/>
  <c r="K718" i="3"/>
  <c r="L718" i="3" s="1"/>
  <c r="K719" i="3"/>
  <c r="L719" i="3" s="1"/>
  <c r="K722" i="3"/>
  <c r="L722" i="3" s="1"/>
  <c r="K724" i="3"/>
  <c r="L724" i="3" s="1"/>
  <c r="K725" i="3"/>
  <c r="L725" i="3" s="1"/>
  <c r="K727" i="3"/>
  <c r="L727" i="3" s="1"/>
  <c r="K729" i="3"/>
  <c r="L729" i="3" s="1"/>
  <c r="K731" i="3"/>
  <c r="L731" i="3" s="1"/>
  <c r="K732" i="3"/>
  <c r="L732" i="3" s="1"/>
  <c r="K733" i="3"/>
  <c r="L733" i="3" s="1"/>
  <c r="K734" i="3"/>
  <c r="L734" i="3" s="1"/>
  <c r="K735" i="3"/>
  <c r="L735" i="3" s="1"/>
  <c r="K737" i="3"/>
  <c r="L737" i="3" s="1"/>
  <c r="K738" i="3"/>
  <c r="L738" i="3" s="1"/>
  <c r="K739" i="3"/>
  <c r="L739" i="3" s="1"/>
  <c r="K741" i="3"/>
  <c r="L741" i="3" s="1"/>
  <c r="K743" i="3"/>
  <c r="L743" i="3" s="1"/>
  <c r="K747" i="3"/>
  <c r="L747" i="3" s="1"/>
  <c r="K748" i="3"/>
  <c r="L748" i="3" s="1"/>
  <c r="K749" i="3"/>
  <c r="L749" i="3" s="1"/>
  <c r="K750" i="3"/>
  <c r="L750" i="3" s="1"/>
  <c r="K751" i="3"/>
  <c r="L751" i="3" s="1"/>
  <c r="K752" i="3"/>
  <c r="L752" i="3" s="1"/>
  <c r="K754" i="3"/>
  <c r="L754" i="3" s="1"/>
  <c r="K756" i="3"/>
  <c r="L756" i="3" s="1"/>
  <c r="K757" i="3"/>
  <c r="L757" i="3" s="1"/>
  <c r="K758" i="3"/>
  <c r="L758" i="3" s="1"/>
  <c r="K759" i="3"/>
  <c r="L759" i="3" s="1"/>
  <c r="K760" i="3"/>
  <c r="L760" i="3" s="1"/>
  <c r="K762" i="3"/>
  <c r="L762" i="3" s="1"/>
  <c r="K765" i="3"/>
  <c r="L765" i="3" s="1"/>
  <c r="K766" i="3"/>
  <c r="L766" i="3" s="1"/>
  <c r="K767" i="3"/>
  <c r="L767" i="3" s="1"/>
  <c r="K768" i="3"/>
  <c r="L768" i="3" s="1"/>
  <c r="K769" i="3"/>
  <c r="L769" i="3" s="1"/>
  <c r="K771" i="3"/>
  <c r="L771" i="3" s="1"/>
  <c r="K773" i="3"/>
  <c r="L773" i="3" s="1"/>
  <c r="K774" i="3"/>
  <c r="L774" i="3" s="1"/>
  <c r="K776" i="3"/>
  <c r="L776" i="3" s="1"/>
  <c r="K778" i="3"/>
  <c r="L778" i="3" s="1"/>
  <c r="K779" i="3"/>
  <c r="L779" i="3" s="1"/>
  <c r="K780" i="3"/>
  <c r="L780" i="3" s="1"/>
  <c r="K781" i="3"/>
  <c r="L781" i="3" s="1"/>
  <c r="K782" i="3"/>
  <c r="L782" i="3" s="1"/>
  <c r="K785" i="3"/>
  <c r="L785" i="3" s="1"/>
  <c r="K786" i="3"/>
  <c r="L786" i="3" s="1"/>
  <c r="K787" i="3"/>
  <c r="L787" i="3" s="1"/>
  <c r="K788" i="3"/>
  <c r="L788" i="3" s="1"/>
  <c r="K789" i="3"/>
  <c r="L789" i="3" s="1"/>
  <c r="K790" i="3"/>
  <c r="L790" i="3" s="1"/>
  <c r="K791" i="3"/>
  <c r="L791" i="3" s="1"/>
  <c r="K792" i="3"/>
  <c r="L792" i="3" s="1"/>
  <c r="K793" i="3"/>
  <c r="L793" i="3" s="1"/>
  <c r="K794" i="3"/>
  <c r="L794" i="3" s="1"/>
  <c r="K795" i="3"/>
  <c r="L795" i="3" s="1"/>
  <c r="K797" i="3"/>
  <c r="L797" i="3" s="1"/>
  <c r="K798" i="3"/>
  <c r="L798" i="3" s="1"/>
  <c r="K799" i="3"/>
  <c r="L799" i="3" s="1"/>
  <c r="K801" i="3"/>
  <c r="L801" i="3" s="1"/>
  <c r="K802" i="3"/>
  <c r="L802" i="3" s="1"/>
  <c r="K804" i="3"/>
  <c r="L804" i="3" s="1"/>
  <c r="K805" i="3"/>
  <c r="L805" i="3" s="1"/>
  <c r="K806" i="3"/>
  <c r="L806" i="3" s="1"/>
  <c r="K807" i="3"/>
  <c r="L807" i="3" s="1"/>
  <c r="K808" i="3"/>
  <c r="L808" i="3" s="1"/>
  <c r="K809" i="3"/>
  <c r="L809" i="3" s="1"/>
  <c r="K811" i="3"/>
  <c r="L811" i="3" s="1"/>
  <c r="K813" i="3"/>
  <c r="L813" i="3" s="1"/>
  <c r="K815" i="3"/>
  <c r="L815" i="3" s="1"/>
  <c r="K816" i="3"/>
  <c r="L816" i="3" s="1"/>
  <c r="K817" i="3"/>
  <c r="L817" i="3" s="1"/>
  <c r="K818" i="3"/>
  <c r="L818" i="3" s="1"/>
  <c r="K819" i="3"/>
  <c r="L819" i="3" s="1"/>
  <c r="K820" i="3"/>
  <c r="L820" i="3" s="1"/>
  <c r="K821" i="3"/>
  <c r="L821" i="3" s="1"/>
  <c r="K822" i="3"/>
  <c r="L822" i="3" s="1"/>
  <c r="K825" i="3"/>
  <c r="L825" i="3" s="1"/>
  <c r="K826" i="3"/>
  <c r="L826" i="3" s="1"/>
  <c r="K827" i="3"/>
  <c r="L827" i="3" s="1"/>
  <c r="K828" i="3"/>
  <c r="L828" i="3" s="1"/>
  <c r="K829" i="3"/>
  <c r="L829" i="3" s="1"/>
  <c r="K831" i="3"/>
  <c r="L831" i="3" s="1"/>
  <c r="K833" i="3"/>
  <c r="L833" i="3" s="1"/>
  <c r="K837" i="3"/>
  <c r="L837" i="3" s="1"/>
  <c r="K838" i="3"/>
  <c r="L838" i="3" s="1"/>
  <c r="K839" i="3"/>
  <c r="L839" i="3" s="1"/>
  <c r="K840" i="3"/>
  <c r="L840" i="3" s="1"/>
  <c r="K841" i="3"/>
  <c r="L841" i="3" s="1"/>
  <c r="K842" i="3"/>
  <c r="L842" i="3" s="1"/>
  <c r="K844" i="3"/>
  <c r="L844" i="3" s="1"/>
  <c r="K847" i="3"/>
  <c r="L847" i="3" s="1"/>
  <c r="K848" i="3"/>
  <c r="L848" i="3" s="1"/>
  <c r="K849" i="3"/>
  <c r="L849" i="3" s="1"/>
  <c r="K850" i="3"/>
  <c r="L850" i="3" s="1"/>
  <c r="K851" i="3"/>
  <c r="L851" i="3" s="1"/>
  <c r="K852" i="3"/>
  <c r="L852" i="3" s="1"/>
  <c r="K853" i="3"/>
  <c r="L853" i="3" s="1"/>
  <c r="K854" i="3"/>
  <c r="L854" i="3" s="1"/>
  <c r="K855" i="3"/>
  <c r="L855" i="3" s="1"/>
  <c r="K856" i="3"/>
  <c r="L856" i="3" s="1"/>
  <c r="K857" i="3"/>
  <c r="L857" i="3" s="1"/>
  <c r="K859" i="3"/>
  <c r="L859" i="3" s="1"/>
  <c r="K860" i="3"/>
  <c r="L860" i="3" s="1"/>
  <c r="K862" i="3"/>
  <c r="L862" i="3" s="1"/>
  <c r="K863" i="3"/>
  <c r="L863" i="3" s="1"/>
  <c r="K865" i="3"/>
  <c r="L865" i="3" s="1"/>
  <c r="K867" i="3"/>
  <c r="L867" i="3" s="1"/>
  <c r="K868" i="3"/>
  <c r="L868" i="3" s="1"/>
  <c r="K869" i="3"/>
  <c r="L869" i="3" s="1"/>
  <c r="K870" i="3"/>
  <c r="L870" i="3" s="1"/>
  <c r="K871" i="3"/>
  <c r="L871" i="3" s="1"/>
  <c r="K872" i="3"/>
  <c r="L872" i="3" s="1"/>
  <c r="K873" i="3"/>
  <c r="L873" i="3" s="1"/>
  <c r="K874" i="3"/>
  <c r="L874" i="3" s="1"/>
  <c r="K875" i="3"/>
  <c r="L875" i="3" s="1"/>
  <c r="K876" i="3"/>
  <c r="L876" i="3" s="1"/>
  <c r="K878" i="3"/>
  <c r="L878" i="3" s="1"/>
  <c r="K880" i="3"/>
  <c r="L880" i="3" s="1"/>
  <c r="K882" i="3"/>
  <c r="L882" i="3" s="1"/>
  <c r="K883" i="3"/>
  <c r="L883" i="3" s="1"/>
  <c r="K885" i="3"/>
  <c r="L885" i="3" s="1"/>
  <c r="K887" i="3"/>
  <c r="L887" i="3" s="1"/>
  <c r="K888" i="3"/>
  <c r="L888" i="3" s="1"/>
  <c r="K893" i="3"/>
  <c r="L893" i="3" s="1"/>
  <c r="K894" i="3"/>
  <c r="L894" i="3" s="1"/>
  <c r="K896" i="3"/>
  <c r="L896" i="3" s="1"/>
  <c r="K897" i="3"/>
  <c r="L897" i="3" s="1"/>
  <c r="K899" i="3"/>
  <c r="L899" i="3" s="1"/>
  <c r="K900" i="3"/>
  <c r="L900" i="3" s="1"/>
  <c r="K901" i="3"/>
  <c r="L901" i="3" s="1"/>
  <c r="K903" i="3"/>
  <c r="L903" i="3" s="1"/>
  <c r="K904" i="3"/>
  <c r="L904" i="3" s="1"/>
  <c r="K905" i="3"/>
  <c r="L905" i="3" s="1"/>
  <c r="K906" i="3"/>
  <c r="K907" i="3"/>
  <c r="L907" i="3" s="1"/>
  <c r="K110" i="3"/>
  <c r="L110" i="3" s="1"/>
  <c r="L407" i="3"/>
  <c r="L462" i="3"/>
  <c r="G902" i="3"/>
  <c r="K902" i="3" s="1"/>
  <c r="L902" i="3" s="1"/>
  <c r="G898" i="3"/>
  <c r="K898" i="3" s="1"/>
  <c r="L898" i="3" s="1"/>
  <c r="G895" i="3"/>
  <c r="K895" i="3" s="1"/>
  <c r="L895" i="3" s="1"/>
  <c r="G892" i="3"/>
  <c r="K892" i="3" s="1"/>
  <c r="L892" i="3" s="1"/>
  <c r="G891" i="3"/>
  <c r="K891" i="3" s="1"/>
  <c r="L891" i="3" s="1"/>
  <c r="G890" i="3"/>
  <c r="K890" i="3" s="1"/>
  <c r="L890" i="3" s="1"/>
  <c r="G889" i="3"/>
  <c r="K889" i="3" s="1"/>
  <c r="L889" i="3" s="1"/>
  <c r="G886" i="3"/>
  <c r="K886" i="3" s="1"/>
  <c r="L886" i="3" s="1"/>
  <c r="G884" i="3"/>
  <c r="K884" i="3" s="1"/>
  <c r="L884" i="3" s="1"/>
  <c r="G881" i="3"/>
  <c r="K881" i="3" s="1"/>
  <c r="L881" i="3" s="1"/>
  <c r="G879" i="3"/>
  <c r="K879" i="3" s="1"/>
  <c r="L879" i="3" s="1"/>
  <c r="G877" i="3"/>
  <c r="K877" i="3" s="1"/>
  <c r="L877" i="3" s="1"/>
  <c r="G866" i="3"/>
  <c r="K866" i="3" s="1"/>
  <c r="L866" i="3" s="1"/>
  <c r="G864" i="3"/>
  <c r="K864" i="3" s="1"/>
  <c r="L864" i="3" s="1"/>
  <c r="G861" i="3"/>
  <c r="K861" i="3" s="1"/>
  <c r="L861" i="3" s="1"/>
  <c r="G858" i="3"/>
  <c r="K858" i="3" s="1"/>
  <c r="L858" i="3" s="1"/>
  <c r="G846" i="3"/>
  <c r="K846" i="3" s="1"/>
  <c r="L846" i="3" s="1"/>
  <c r="G845" i="3"/>
  <c r="K845" i="3" s="1"/>
  <c r="L845" i="3" s="1"/>
  <c r="G843" i="3"/>
  <c r="K843" i="3" s="1"/>
  <c r="L843" i="3" s="1"/>
  <c r="G836" i="3"/>
  <c r="K836" i="3" s="1"/>
  <c r="L836" i="3" s="1"/>
  <c r="G835" i="3"/>
  <c r="K835" i="3" s="1"/>
  <c r="L835" i="3" s="1"/>
  <c r="G834" i="3"/>
  <c r="K834" i="3" s="1"/>
  <c r="L834" i="3" s="1"/>
  <c r="G832" i="3"/>
  <c r="K832" i="3" s="1"/>
  <c r="L832" i="3" s="1"/>
  <c r="G830" i="3"/>
  <c r="K830" i="3" s="1"/>
  <c r="L830" i="3" s="1"/>
  <c r="G824" i="3"/>
  <c r="K824" i="3" s="1"/>
  <c r="L824" i="3" s="1"/>
  <c r="G823" i="3"/>
  <c r="K823" i="3" s="1"/>
  <c r="L823" i="3" s="1"/>
  <c r="G814" i="3"/>
  <c r="K814" i="3" s="1"/>
  <c r="L814" i="3" s="1"/>
  <c r="G812" i="3"/>
  <c r="K812" i="3" s="1"/>
  <c r="L812" i="3" s="1"/>
  <c r="G810" i="3"/>
  <c r="K810" i="3" s="1"/>
  <c r="L810" i="3" s="1"/>
  <c r="G803" i="3"/>
  <c r="K803" i="3" s="1"/>
  <c r="L803" i="3" s="1"/>
  <c r="G800" i="3"/>
  <c r="K800" i="3" s="1"/>
  <c r="L800" i="3" s="1"/>
  <c r="G796" i="3"/>
  <c r="K796" i="3" s="1"/>
  <c r="L796" i="3" s="1"/>
  <c r="G784" i="3"/>
  <c r="K784" i="3" s="1"/>
  <c r="L784" i="3" s="1"/>
  <c r="G783" i="3"/>
  <c r="K783" i="3" s="1"/>
  <c r="L783" i="3" s="1"/>
  <c r="G777" i="3"/>
  <c r="K777" i="3" s="1"/>
  <c r="L777" i="3" s="1"/>
  <c r="G775" i="3"/>
  <c r="K775" i="3" s="1"/>
  <c r="L775" i="3" s="1"/>
  <c r="G772" i="3"/>
  <c r="K772" i="3" s="1"/>
  <c r="L772" i="3" s="1"/>
  <c r="G770" i="3"/>
  <c r="K770" i="3" s="1"/>
  <c r="L770" i="3" s="1"/>
  <c r="G764" i="3"/>
  <c r="K764" i="3" s="1"/>
  <c r="L764" i="3" s="1"/>
  <c r="G763" i="3"/>
  <c r="K763" i="3" s="1"/>
  <c r="L763" i="3" s="1"/>
  <c r="G761" i="3"/>
  <c r="K761" i="3" s="1"/>
  <c r="L761" i="3" s="1"/>
  <c r="G755" i="3"/>
  <c r="K755" i="3" s="1"/>
  <c r="L755" i="3" s="1"/>
  <c r="G753" i="3"/>
  <c r="K753" i="3" s="1"/>
  <c r="L753" i="3" s="1"/>
  <c r="G746" i="3"/>
  <c r="K746" i="3" s="1"/>
  <c r="L746" i="3" s="1"/>
  <c r="G745" i="3"/>
  <c r="K745" i="3" s="1"/>
  <c r="L745" i="3" s="1"/>
  <c r="G744" i="3"/>
  <c r="K744" i="3" s="1"/>
  <c r="L744" i="3" s="1"/>
  <c r="G742" i="3"/>
  <c r="K742" i="3" s="1"/>
  <c r="L742" i="3" s="1"/>
  <c r="G740" i="3"/>
  <c r="K740" i="3" s="1"/>
  <c r="L740" i="3" s="1"/>
  <c r="G736" i="3"/>
  <c r="K736" i="3" s="1"/>
  <c r="L736" i="3" s="1"/>
  <c r="G730" i="3"/>
  <c r="K730" i="3" s="1"/>
  <c r="L730" i="3" s="1"/>
  <c r="G728" i="3"/>
  <c r="K728" i="3" s="1"/>
  <c r="L728" i="3" s="1"/>
  <c r="G726" i="3"/>
  <c r="K726" i="3" s="1"/>
  <c r="L726" i="3" s="1"/>
  <c r="G723" i="3"/>
  <c r="K723" i="3" s="1"/>
  <c r="L723" i="3" s="1"/>
  <c r="G721" i="3"/>
  <c r="K721" i="3" s="1"/>
  <c r="L721" i="3" s="1"/>
  <c r="G720" i="3"/>
  <c r="K720" i="3" s="1"/>
  <c r="L720" i="3" s="1"/>
  <c r="G715" i="3"/>
  <c r="K715" i="3" s="1"/>
  <c r="L715" i="3" s="1"/>
  <c r="G712" i="3"/>
  <c r="K712" i="3" s="1"/>
  <c r="L712" i="3" s="1"/>
  <c r="G710" i="3"/>
  <c r="K710" i="3" s="1"/>
  <c r="L710" i="3" s="1"/>
  <c r="G707" i="3"/>
  <c r="K707" i="3" s="1"/>
  <c r="L707" i="3" s="1"/>
  <c r="G702" i="3"/>
  <c r="K702" i="3" s="1"/>
  <c r="L702" i="3" s="1"/>
  <c r="G701" i="3"/>
  <c r="K701" i="3" s="1"/>
  <c r="L701" i="3" s="1"/>
  <c r="G697" i="3"/>
  <c r="K697" i="3" s="1"/>
  <c r="L697" i="3" s="1"/>
  <c r="G695" i="3"/>
  <c r="K695" i="3" s="1"/>
  <c r="L695" i="3" s="1"/>
  <c r="G688" i="3"/>
  <c r="K688" i="3" s="1"/>
  <c r="L688" i="3" s="1"/>
  <c r="G683" i="3"/>
  <c r="K683" i="3" s="1"/>
  <c r="L683" i="3" s="1"/>
  <c r="G678" i="3"/>
  <c r="K678" i="3" s="1"/>
  <c r="L678" i="3" s="1"/>
  <c r="G675" i="3"/>
  <c r="K675" i="3" s="1"/>
  <c r="L675" i="3" s="1"/>
  <c r="G671" i="3"/>
  <c r="K671" i="3" s="1"/>
  <c r="L671" i="3" s="1"/>
  <c r="G662" i="3"/>
  <c r="K662" i="3" s="1"/>
  <c r="L662" i="3" s="1"/>
  <c r="G659" i="3"/>
  <c r="K659" i="3" s="1"/>
  <c r="L659" i="3" s="1"/>
  <c r="G655" i="3"/>
  <c r="K655" i="3" s="1"/>
  <c r="L655" i="3" s="1"/>
  <c r="G650" i="3"/>
  <c r="K650" i="3" s="1"/>
  <c r="L650" i="3" s="1"/>
  <c r="G649" i="3"/>
  <c r="K649" i="3" s="1"/>
  <c r="L649" i="3" s="1"/>
  <c r="G642" i="3"/>
  <c r="K642" i="3" s="1"/>
  <c r="L642" i="3" s="1"/>
  <c r="G636" i="3"/>
  <c r="K636" i="3" s="1"/>
  <c r="L636" i="3" s="1"/>
  <c r="G635" i="3"/>
  <c r="K635" i="3" s="1"/>
  <c r="L635" i="3" s="1"/>
  <c r="G631" i="3"/>
  <c r="K631" i="3" s="1"/>
  <c r="L631" i="3" s="1"/>
  <c r="G630" i="3"/>
  <c r="K630" i="3" s="1"/>
  <c r="L630" i="3" s="1"/>
  <c r="G629" i="3"/>
  <c r="K629" i="3" s="1"/>
  <c r="L629" i="3" s="1"/>
  <c r="G610" i="3"/>
  <c r="K610" i="3" s="1"/>
  <c r="L610" i="3" s="1"/>
  <c r="G607" i="3"/>
  <c r="K607" i="3" s="1"/>
  <c r="L607" i="3" s="1"/>
  <c r="G606" i="3"/>
  <c r="K606" i="3" s="1"/>
  <c r="L606" i="3" s="1"/>
  <c r="G605" i="3"/>
  <c r="K605" i="3" s="1"/>
  <c r="L605" i="3" s="1"/>
  <c r="G601" i="3"/>
  <c r="K601" i="3" s="1"/>
  <c r="L601" i="3" s="1"/>
  <c r="G600" i="3"/>
  <c r="K600" i="3" s="1"/>
  <c r="L600" i="3" s="1"/>
  <c r="G599" i="3"/>
  <c r="K599" i="3" s="1"/>
  <c r="L599" i="3" s="1"/>
  <c r="G598" i="3"/>
  <c r="K598" i="3" s="1"/>
  <c r="L598" i="3" s="1"/>
  <c r="G597" i="3"/>
  <c r="K597" i="3" s="1"/>
  <c r="L597" i="3" s="1"/>
  <c r="G593" i="3"/>
  <c r="K593" i="3" s="1"/>
  <c r="L593" i="3" s="1"/>
  <c r="G589" i="3"/>
  <c r="K589" i="3" s="1"/>
  <c r="L589" i="3" s="1"/>
  <c r="G588" i="3"/>
  <c r="K588" i="3" s="1"/>
  <c r="L588" i="3" s="1"/>
  <c r="G585" i="3"/>
  <c r="K585" i="3" s="1"/>
  <c r="L585" i="3" s="1"/>
  <c r="G584" i="3"/>
  <c r="K584" i="3" s="1"/>
  <c r="L584" i="3" s="1"/>
  <c r="G583" i="3"/>
  <c r="K583" i="3" s="1"/>
  <c r="L583" i="3" s="1"/>
  <c r="G575" i="3"/>
  <c r="K575" i="3" s="1"/>
  <c r="L575" i="3" s="1"/>
  <c r="G572" i="3"/>
  <c r="K572" i="3" s="1"/>
  <c r="L572" i="3" s="1"/>
  <c r="G568" i="3"/>
  <c r="K568" i="3" s="1"/>
  <c r="L568" i="3" s="1"/>
  <c r="G566" i="3"/>
  <c r="K566" i="3" s="1"/>
  <c r="L566" i="3" s="1"/>
  <c r="G563" i="3"/>
  <c r="K563" i="3" s="1"/>
  <c r="L563" i="3" s="1"/>
  <c r="G557" i="3"/>
  <c r="K557" i="3" s="1"/>
  <c r="L557" i="3" s="1"/>
  <c r="G543" i="3"/>
  <c r="K543" i="3" s="1"/>
  <c r="L543" i="3" s="1"/>
  <c r="G542" i="3"/>
  <c r="K542" i="3" s="1"/>
  <c r="L542" i="3" s="1"/>
  <c r="G541" i="3"/>
  <c r="K541" i="3" s="1"/>
  <c r="L541" i="3" s="1"/>
  <c r="G539" i="3"/>
  <c r="K539" i="3" s="1"/>
  <c r="L539" i="3" s="1"/>
  <c r="G537" i="3"/>
  <c r="K537" i="3" s="1"/>
  <c r="L537" i="3" s="1"/>
  <c r="G536" i="3"/>
  <c r="K536" i="3" s="1"/>
  <c r="L536" i="3" s="1"/>
  <c r="G532" i="3"/>
  <c r="K532" i="3" s="1"/>
  <c r="L532" i="3" s="1"/>
  <c r="G531" i="3"/>
  <c r="K531" i="3" s="1"/>
  <c r="L531" i="3" s="1"/>
  <c r="G529" i="3"/>
  <c r="K529" i="3" s="1"/>
  <c r="L529" i="3" s="1"/>
  <c r="G526" i="3"/>
  <c r="K526" i="3" s="1"/>
  <c r="L526" i="3" s="1"/>
  <c r="G522" i="3"/>
  <c r="K522" i="3" s="1"/>
  <c r="L522" i="3" s="1"/>
  <c r="G517" i="3"/>
  <c r="K517" i="3" s="1"/>
  <c r="L517" i="3" s="1"/>
  <c r="G512" i="3"/>
  <c r="K512" i="3" s="1"/>
  <c r="L512" i="3" s="1"/>
  <c r="G504" i="3"/>
  <c r="K504" i="3" s="1"/>
  <c r="L504" i="3" s="1"/>
  <c r="G502" i="3"/>
  <c r="K502" i="3" s="1"/>
  <c r="L502" i="3" s="1"/>
  <c r="G500" i="3"/>
  <c r="K500" i="3" s="1"/>
  <c r="L500" i="3" s="1"/>
  <c r="G497" i="3"/>
  <c r="K497" i="3" s="1"/>
  <c r="L497" i="3" s="1"/>
  <c r="G491" i="3"/>
  <c r="K491" i="3" s="1"/>
  <c r="L491" i="3" s="1"/>
  <c r="G489" i="3"/>
  <c r="K489" i="3" s="1"/>
  <c r="L489" i="3" s="1"/>
  <c r="G487" i="3"/>
  <c r="K487" i="3" s="1"/>
  <c r="L487" i="3" s="1"/>
  <c r="G485" i="3"/>
  <c r="K485" i="3" s="1"/>
  <c r="L485" i="3" s="1"/>
  <c r="G483" i="3"/>
  <c r="K483" i="3" s="1"/>
  <c r="L483" i="3" s="1"/>
  <c r="G478" i="3"/>
  <c r="K478" i="3" s="1"/>
  <c r="L478" i="3" s="1"/>
  <c r="G474" i="3"/>
  <c r="K474" i="3" s="1"/>
  <c r="L474" i="3" s="1"/>
  <c r="G472" i="3"/>
  <c r="K472" i="3" s="1"/>
  <c r="L472" i="3" s="1"/>
  <c r="G471" i="3"/>
  <c r="K471" i="3" s="1"/>
  <c r="L471" i="3" s="1"/>
  <c r="G469" i="3"/>
  <c r="K469" i="3" s="1"/>
  <c r="L469" i="3" s="1"/>
  <c r="G466" i="3"/>
  <c r="K466" i="3" s="1"/>
  <c r="L466" i="3" s="1"/>
  <c r="G464" i="3"/>
  <c r="K464" i="3" s="1"/>
  <c r="L464" i="3" s="1"/>
  <c r="G454" i="3"/>
  <c r="K454" i="3" s="1"/>
  <c r="L454" i="3" s="1"/>
  <c r="G447" i="3"/>
  <c r="K447" i="3" s="1"/>
  <c r="L447" i="3" s="1"/>
  <c r="G445" i="3"/>
  <c r="K445" i="3" s="1"/>
  <c r="L445" i="3" s="1"/>
  <c r="G443" i="3"/>
  <c r="K443" i="3" s="1"/>
  <c r="L443" i="3" s="1"/>
  <c r="G442" i="3"/>
  <c r="K442" i="3" s="1"/>
  <c r="L442" i="3" s="1"/>
  <c r="G438" i="3"/>
  <c r="K438" i="3" s="1"/>
  <c r="L438" i="3" s="1"/>
  <c r="G436" i="3"/>
  <c r="K436" i="3" s="1"/>
  <c r="L436" i="3" s="1"/>
  <c r="G429" i="3"/>
  <c r="K429" i="3" s="1"/>
  <c r="L429" i="3" s="1"/>
  <c r="G426" i="3"/>
  <c r="K426" i="3" s="1"/>
  <c r="L426" i="3" s="1"/>
  <c r="G422" i="3"/>
  <c r="K422" i="3" s="1"/>
  <c r="L422" i="3" s="1"/>
  <c r="G421" i="3"/>
  <c r="K421" i="3" s="1"/>
  <c r="L421" i="3" s="1"/>
  <c r="G416" i="3"/>
  <c r="K416" i="3" s="1"/>
  <c r="L416" i="3" s="1"/>
  <c r="G410" i="3"/>
  <c r="K410" i="3" s="1"/>
  <c r="L410" i="3" s="1"/>
  <c r="G409" i="3"/>
  <c r="K409" i="3" s="1"/>
  <c r="L409" i="3" s="1"/>
  <c r="G406" i="3"/>
  <c r="K406" i="3" s="1"/>
  <c r="L406" i="3" s="1"/>
  <c r="G405" i="3"/>
  <c r="K405" i="3" s="1"/>
  <c r="L405" i="3" s="1"/>
  <c r="G404" i="3"/>
  <c r="K404" i="3" s="1"/>
  <c r="L404" i="3" s="1"/>
  <c r="G399" i="3"/>
  <c r="K399" i="3" s="1"/>
  <c r="L399" i="3" s="1"/>
  <c r="G391" i="3"/>
  <c r="K391" i="3" s="1"/>
  <c r="L391" i="3" s="1"/>
  <c r="G383" i="3"/>
  <c r="K383" i="3" s="1"/>
  <c r="L383" i="3" s="1"/>
  <c r="G382" i="3"/>
  <c r="K382" i="3" s="1"/>
  <c r="L382" i="3" s="1"/>
  <c r="G380" i="3"/>
  <c r="K380" i="3" s="1"/>
  <c r="L380" i="3" s="1"/>
  <c r="G379" i="3"/>
  <c r="K379" i="3" s="1"/>
  <c r="L379" i="3" s="1"/>
  <c r="G374" i="3"/>
  <c r="K374" i="3" s="1"/>
  <c r="L374" i="3" s="1"/>
  <c r="G368" i="3"/>
  <c r="K368" i="3" s="1"/>
  <c r="L368" i="3" s="1"/>
  <c r="G361" i="3"/>
  <c r="K361" i="3" s="1"/>
  <c r="L361" i="3" s="1"/>
  <c r="G359" i="3"/>
  <c r="K359" i="3" s="1"/>
  <c r="L359" i="3" s="1"/>
  <c r="G348" i="3"/>
  <c r="K348" i="3" s="1"/>
  <c r="L348" i="3" s="1"/>
  <c r="G344" i="3"/>
  <c r="K344" i="3" s="1"/>
  <c r="L344" i="3" s="1"/>
  <c r="G343" i="3"/>
  <c r="K343" i="3" s="1"/>
  <c r="L343" i="3" s="1"/>
  <c r="G342" i="3"/>
  <c r="K342" i="3" s="1"/>
  <c r="L342" i="3" s="1"/>
  <c r="G340" i="3"/>
  <c r="K340" i="3" s="1"/>
  <c r="L340" i="3" s="1"/>
  <c r="G338" i="3"/>
  <c r="K338" i="3" s="1"/>
  <c r="L338" i="3" s="1"/>
  <c r="G329" i="3"/>
  <c r="K329" i="3" s="1"/>
  <c r="L329" i="3" s="1"/>
  <c r="G320" i="3"/>
  <c r="K320" i="3" s="1"/>
  <c r="L320" i="3" s="1"/>
  <c r="G310" i="3"/>
  <c r="K310" i="3" s="1"/>
  <c r="L310" i="3" s="1"/>
  <c r="G295" i="3"/>
  <c r="K295" i="3" s="1"/>
  <c r="L295" i="3" s="1"/>
  <c r="G293" i="3"/>
  <c r="K293" i="3" s="1"/>
  <c r="L293" i="3" s="1"/>
  <c r="G292" i="3"/>
  <c r="K292" i="3" s="1"/>
  <c r="L292" i="3" s="1"/>
  <c r="G289" i="3"/>
  <c r="K289" i="3" s="1"/>
  <c r="L289" i="3" s="1"/>
  <c r="G287" i="3"/>
  <c r="K287" i="3" s="1"/>
  <c r="L287" i="3" s="1"/>
  <c r="G284" i="3"/>
  <c r="K284" i="3" s="1"/>
  <c r="L284" i="3" s="1"/>
  <c r="G283" i="3"/>
  <c r="K283" i="3" s="1"/>
  <c r="L283" i="3" s="1"/>
  <c r="G270" i="3"/>
  <c r="K270" i="3" s="1"/>
  <c r="L270" i="3" s="1"/>
  <c r="G267" i="3"/>
  <c r="K267" i="3" s="1"/>
  <c r="L267" i="3" s="1"/>
  <c r="G266" i="3"/>
  <c r="K266" i="3" s="1"/>
  <c r="L266" i="3" s="1"/>
  <c r="G265" i="3"/>
  <c r="K265" i="3" s="1"/>
  <c r="L265" i="3" s="1"/>
  <c r="G264" i="3"/>
  <c r="K264" i="3" s="1"/>
  <c r="L264" i="3" s="1"/>
  <c r="G255" i="3"/>
  <c r="K255" i="3" s="1"/>
  <c r="L255" i="3" s="1"/>
  <c r="G250" i="3"/>
  <c r="K250" i="3" s="1"/>
  <c r="L250" i="3" s="1"/>
  <c r="G248" i="3"/>
  <c r="K248" i="3" s="1"/>
  <c r="L248" i="3" s="1"/>
  <c r="G246" i="3"/>
  <c r="K246" i="3" s="1"/>
  <c r="L246" i="3" s="1"/>
  <c r="G245" i="3"/>
  <c r="K245" i="3" s="1"/>
  <c r="L245" i="3" s="1"/>
  <c r="G239" i="3"/>
  <c r="K239" i="3" s="1"/>
  <c r="L239" i="3" s="1"/>
  <c r="G237" i="3"/>
  <c r="K237" i="3" s="1"/>
  <c r="L237" i="3" s="1"/>
  <c r="G234" i="3"/>
  <c r="K234" i="3" s="1"/>
  <c r="L234" i="3" s="1"/>
  <c r="G225" i="3"/>
  <c r="K225" i="3" s="1"/>
  <c r="L225" i="3" s="1"/>
  <c r="G219" i="3"/>
  <c r="K219" i="3" s="1"/>
  <c r="L219" i="3" s="1"/>
  <c r="G218" i="3"/>
  <c r="K218" i="3" s="1"/>
  <c r="L218" i="3" s="1"/>
  <c r="G211" i="3"/>
  <c r="K211" i="3" s="1"/>
  <c r="L211" i="3" s="1"/>
  <c r="G210" i="3"/>
  <c r="K210" i="3" s="1"/>
  <c r="L210" i="3" s="1"/>
  <c r="G209" i="3"/>
  <c r="K209" i="3" s="1"/>
  <c r="L209" i="3" s="1"/>
  <c r="G208" i="3"/>
  <c r="K208" i="3" s="1"/>
  <c r="L208" i="3" s="1"/>
  <c r="G199" i="3"/>
  <c r="K199" i="3" s="1"/>
  <c r="L199" i="3" s="1"/>
  <c r="G198" i="3"/>
  <c r="K198" i="3" s="1"/>
  <c r="L198" i="3" s="1"/>
  <c r="G197" i="3"/>
  <c r="K197" i="3" s="1"/>
  <c r="L197" i="3" s="1"/>
  <c r="G196" i="3"/>
  <c r="K196" i="3" s="1"/>
  <c r="L196" i="3" s="1"/>
  <c r="G195" i="3"/>
  <c r="K195" i="3" s="1"/>
  <c r="L195" i="3" s="1"/>
  <c r="G193" i="3"/>
  <c r="K193" i="3" s="1"/>
  <c r="L193" i="3" s="1"/>
  <c r="G192" i="3"/>
  <c r="K192" i="3" s="1"/>
  <c r="L192" i="3" s="1"/>
  <c r="G191" i="3"/>
  <c r="K191" i="3" s="1"/>
  <c r="L191" i="3" s="1"/>
  <c r="G189" i="3"/>
  <c r="K189" i="3" s="1"/>
  <c r="L189" i="3" s="1"/>
  <c r="G184" i="3"/>
  <c r="K184" i="3" s="1"/>
  <c r="L184" i="3" s="1"/>
  <c r="G183" i="3"/>
  <c r="K183" i="3" s="1"/>
  <c r="L183" i="3" s="1"/>
  <c r="G181" i="3"/>
  <c r="K181" i="3" s="1"/>
  <c r="L181" i="3" s="1"/>
  <c r="G177" i="3"/>
  <c r="K177" i="3" s="1"/>
  <c r="L177" i="3" s="1"/>
  <c r="G175" i="3"/>
  <c r="K175" i="3" s="1"/>
  <c r="L175" i="3" s="1"/>
  <c r="G174" i="3"/>
  <c r="K174" i="3" s="1"/>
  <c r="L174" i="3" s="1"/>
  <c r="G172" i="3"/>
  <c r="K172" i="3" s="1"/>
  <c r="L172" i="3" s="1"/>
  <c r="G169" i="3"/>
  <c r="K169" i="3" s="1"/>
  <c r="L169" i="3" s="1"/>
  <c r="G166" i="3"/>
  <c r="K166" i="3" s="1"/>
  <c r="L166" i="3" s="1"/>
  <c r="G165" i="3"/>
  <c r="K165" i="3" s="1"/>
  <c r="L165" i="3" s="1"/>
  <c r="G158" i="3"/>
  <c r="K158" i="3" s="1"/>
  <c r="L158" i="3" s="1"/>
  <c r="G155" i="3"/>
  <c r="K155" i="3" s="1"/>
  <c r="L155" i="3" s="1"/>
  <c r="G152" i="3"/>
  <c r="K152" i="3" s="1"/>
  <c r="L152" i="3" s="1"/>
  <c r="G150" i="3"/>
  <c r="K150" i="3" s="1"/>
  <c r="L150" i="3" s="1"/>
  <c r="G149" i="3"/>
  <c r="K149" i="3" s="1"/>
  <c r="L149" i="3" s="1"/>
  <c r="G148" i="3"/>
  <c r="K148" i="3" s="1"/>
  <c r="L148" i="3" s="1"/>
  <c r="G144" i="3"/>
  <c r="K144" i="3" s="1"/>
  <c r="L144" i="3" s="1"/>
  <c r="G143" i="3"/>
  <c r="K143" i="3" s="1"/>
  <c r="L143" i="3" s="1"/>
  <c r="G142" i="3"/>
  <c r="K142" i="3" s="1"/>
  <c r="L142" i="3" s="1"/>
  <c r="G140" i="3"/>
  <c r="K140" i="3" s="1"/>
  <c r="L140" i="3" s="1"/>
  <c r="G133" i="3"/>
  <c r="K133" i="3" s="1"/>
  <c r="L133" i="3" s="1"/>
  <c r="G129" i="3"/>
  <c r="K129" i="3" s="1"/>
  <c r="L129" i="3" s="1"/>
  <c r="G128" i="3"/>
  <c r="K128" i="3" s="1"/>
  <c r="L128" i="3" s="1"/>
  <c r="G127" i="3"/>
  <c r="K127" i="3" s="1"/>
  <c r="L127" i="3" s="1"/>
  <c r="G126" i="3"/>
  <c r="K126" i="3" s="1"/>
  <c r="L126" i="3" s="1"/>
  <c r="G122" i="3"/>
  <c r="K122" i="3" s="1"/>
  <c r="L122" i="3" s="1"/>
  <c r="G119" i="3"/>
  <c r="K119" i="3" s="1"/>
  <c r="L119" i="3" s="1"/>
  <c r="K83" i="3"/>
  <c r="L83" i="3" s="1"/>
  <c r="K84" i="3"/>
  <c r="L84" i="3" s="1"/>
  <c r="K85" i="3"/>
  <c r="L85" i="3" s="1"/>
  <c r="K86" i="3"/>
  <c r="L86" i="3" s="1"/>
  <c r="K87" i="3"/>
  <c r="L87" i="3" s="1"/>
  <c r="K88" i="3"/>
  <c r="L88" i="3" s="1"/>
  <c r="K89" i="3"/>
  <c r="L89" i="3" s="1"/>
  <c r="K90" i="3"/>
  <c r="L90" i="3" s="1"/>
  <c r="K91" i="3"/>
  <c r="L91" i="3" s="1"/>
  <c r="K92" i="3"/>
  <c r="L92" i="3" s="1"/>
  <c r="K93" i="3"/>
  <c r="L93" i="3" s="1"/>
  <c r="K94" i="3"/>
  <c r="L94" i="3" s="1"/>
  <c r="K95" i="3"/>
  <c r="L95" i="3" s="1"/>
  <c r="K96" i="3"/>
  <c r="L96" i="3" s="1"/>
  <c r="K97" i="3"/>
  <c r="L97" i="3" s="1"/>
  <c r="K98" i="3"/>
  <c r="L98" i="3" s="1"/>
  <c r="K99" i="3"/>
  <c r="L99" i="3" s="1"/>
  <c r="K100" i="3"/>
  <c r="L100" i="3" s="1"/>
  <c r="K101" i="3"/>
  <c r="L101" i="3" s="1"/>
  <c r="K102" i="3"/>
  <c r="L102" i="3" s="1"/>
  <c r="K103" i="3"/>
  <c r="L103" i="3" s="1"/>
  <c r="K104" i="3"/>
  <c r="L104" i="3" s="1"/>
  <c r="K105" i="3"/>
  <c r="L105" i="3" s="1"/>
  <c r="K106" i="3"/>
  <c r="L106" i="3" s="1"/>
  <c r="K107" i="3"/>
  <c r="L107" i="3" s="1"/>
  <c r="K108" i="3"/>
  <c r="L108" i="3" s="1"/>
  <c r="K109" i="3"/>
  <c r="L109" i="3" s="1"/>
  <c r="K82" i="3"/>
  <c r="L82" i="3" s="1"/>
  <c r="K78" i="3"/>
  <c r="L78" i="3" s="1"/>
  <c r="K79" i="3"/>
  <c r="L79" i="3" s="1"/>
  <c r="K80" i="3"/>
  <c r="L80" i="3" s="1"/>
  <c r="K81" i="3"/>
  <c r="L81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2" i="3"/>
  <c r="L32" i="3" s="1"/>
  <c r="K33" i="3"/>
  <c r="L33" i="3" s="1"/>
  <c r="K34" i="3"/>
  <c r="L34" i="3" s="1"/>
  <c r="K35" i="3"/>
  <c r="L35" i="3" s="1"/>
  <c r="K36" i="3"/>
  <c r="L36" i="3" s="1"/>
  <c r="K37" i="3"/>
  <c r="L37" i="3" s="1"/>
  <c r="K38" i="3"/>
  <c r="L38" i="3" s="1"/>
  <c r="K39" i="3"/>
  <c r="L39" i="3" s="1"/>
  <c r="K40" i="3"/>
  <c r="L40" i="3" s="1"/>
  <c r="K41" i="3"/>
  <c r="L41" i="3" s="1"/>
  <c r="K42" i="3"/>
  <c r="L42" i="3" s="1"/>
  <c r="K43" i="3"/>
  <c r="L43" i="3" s="1"/>
  <c r="K44" i="3"/>
  <c r="L44" i="3" s="1"/>
  <c r="K45" i="3"/>
  <c r="L45" i="3" s="1"/>
  <c r="K46" i="3"/>
  <c r="L46" i="3" s="1"/>
  <c r="K47" i="3"/>
  <c r="L47" i="3" s="1"/>
  <c r="K48" i="3"/>
  <c r="L48" i="3" s="1"/>
  <c r="K49" i="3"/>
  <c r="L49" i="3" s="1"/>
  <c r="K50" i="3"/>
  <c r="L50" i="3" s="1"/>
  <c r="K51" i="3"/>
  <c r="L51" i="3" s="1"/>
  <c r="K52" i="3"/>
  <c r="L52" i="3" s="1"/>
  <c r="K53" i="3"/>
  <c r="L53" i="3" s="1"/>
  <c r="K54" i="3"/>
  <c r="L54" i="3" s="1"/>
  <c r="K55" i="3"/>
  <c r="L55" i="3" s="1"/>
  <c r="K56" i="3"/>
  <c r="L56" i="3" s="1"/>
  <c r="K57" i="3"/>
  <c r="L57" i="3" s="1"/>
  <c r="K58" i="3"/>
  <c r="L58" i="3" s="1"/>
  <c r="K59" i="3"/>
  <c r="L59" i="3" s="1"/>
  <c r="K60" i="3"/>
  <c r="L60" i="3" s="1"/>
  <c r="K61" i="3"/>
  <c r="L61" i="3" s="1"/>
  <c r="K62" i="3"/>
  <c r="L62" i="3" s="1"/>
  <c r="K63" i="3"/>
  <c r="L63" i="3" s="1"/>
  <c r="K64" i="3"/>
  <c r="L64" i="3" s="1"/>
  <c r="K65" i="3"/>
  <c r="L65" i="3" s="1"/>
  <c r="K66" i="3"/>
  <c r="L66" i="3" s="1"/>
  <c r="K67" i="3"/>
  <c r="L67" i="3" s="1"/>
  <c r="K68" i="3"/>
  <c r="L68" i="3" s="1"/>
  <c r="K69" i="3"/>
  <c r="L69" i="3" s="1"/>
  <c r="K70" i="3"/>
  <c r="L70" i="3" s="1"/>
  <c r="K71" i="3"/>
  <c r="L71" i="3" s="1"/>
  <c r="K72" i="3"/>
  <c r="L72" i="3" s="1"/>
  <c r="K73" i="3"/>
  <c r="L73" i="3" s="1"/>
  <c r="K74" i="3"/>
  <c r="L74" i="3" s="1"/>
  <c r="K75" i="3"/>
  <c r="L75" i="3" s="1"/>
  <c r="K76" i="3"/>
  <c r="L76" i="3" s="1"/>
  <c r="K77" i="3"/>
  <c r="L77" i="3" s="1"/>
  <c r="K23" i="3"/>
  <c r="L23" i="3" s="1"/>
  <c r="K19" i="3"/>
  <c r="L19" i="3" s="1"/>
  <c r="K12" i="3"/>
  <c r="L12" i="3" s="1"/>
  <c r="K9" i="3"/>
  <c r="L9" i="3" s="1"/>
  <c r="K10" i="3"/>
  <c r="L10" i="3" s="1"/>
  <c r="K11" i="3"/>
  <c r="L11" i="3" s="1"/>
  <c r="K13" i="3"/>
  <c r="L13" i="3" s="1"/>
  <c r="K14" i="3"/>
  <c r="L14" i="3" s="1"/>
  <c r="K15" i="3"/>
  <c r="L15" i="3" s="1"/>
  <c r="K16" i="3"/>
  <c r="L16" i="3" s="1"/>
  <c r="K17" i="3"/>
  <c r="L17" i="3" s="1"/>
  <c r="K18" i="3"/>
  <c r="L18" i="3" s="1"/>
  <c r="K7" i="3"/>
  <c r="L7" i="3" s="1"/>
  <c r="K4" i="3"/>
  <c r="L4" i="3" s="1"/>
  <c r="L2" i="3"/>
  <c r="K3" i="3"/>
  <c r="L3" i="3" s="1"/>
  <c r="K5" i="3"/>
  <c r="L5" i="3" s="1"/>
  <c r="K6" i="3"/>
  <c r="L6" i="3" s="1"/>
  <c r="M1741" i="3" l="1"/>
  <c r="M1729" i="3"/>
  <c r="M1706" i="3"/>
  <c r="M1731" i="3"/>
  <c r="L906" i="3"/>
  <c r="M907" i="3" s="1"/>
  <c r="M109" i="3"/>
  <c r="M82" i="3"/>
  <c r="M7" i="3"/>
  <c r="M19" i="3"/>
</calcChain>
</file>

<file path=xl/sharedStrings.xml><?xml version="1.0" encoding="utf-8"?>
<sst xmlns="http://schemas.openxmlformats.org/spreadsheetml/2006/main" count="4040" uniqueCount="133">
  <si>
    <t>Cedrela odorata L.</t>
  </si>
  <si>
    <t>Nombre comun</t>
  </si>
  <si>
    <t>Nombre cientifico</t>
  </si>
  <si>
    <t xml:space="preserve">Naranjo </t>
  </si>
  <si>
    <t>Cedro rojo</t>
  </si>
  <si>
    <t xml:space="preserve">Mango manilo </t>
  </si>
  <si>
    <t>No.</t>
  </si>
  <si>
    <t>Chicozapote</t>
  </si>
  <si>
    <t xml:space="preserve">Tamarindo </t>
  </si>
  <si>
    <t>Liche</t>
  </si>
  <si>
    <t>Mandarina</t>
  </si>
  <si>
    <t xml:space="preserve">Palo de jobo </t>
  </si>
  <si>
    <t>Cacao</t>
  </si>
  <si>
    <t>Cacao tigre</t>
  </si>
  <si>
    <t>Zapote mamey</t>
  </si>
  <si>
    <r>
      <t>Inga vera</t>
    </r>
    <r>
      <rPr>
        <sz val="11"/>
        <color theme="1"/>
        <rFont val="Aptos Narrow"/>
        <family val="2"/>
        <scheme val="minor"/>
      </rPr>
      <t xml:space="preserve"> Willd</t>
    </r>
  </si>
  <si>
    <r>
      <t xml:space="preserve">Inga inicuil </t>
    </r>
    <r>
      <rPr>
        <sz val="11"/>
        <color theme="1"/>
        <rFont val="Aptos Narrow"/>
        <family val="2"/>
        <scheme val="minor"/>
      </rPr>
      <t>(Kunth) DC</t>
    </r>
  </si>
  <si>
    <r>
      <t xml:space="preserve">Mangifera indica </t>
    </r>
    <r>
      <rPr>
        <sz val="11"/>
        <color theme="1"/>
        <rFont val="Aptos Narrow"/>
        <family val="2"/>
        <scheme val="minor"/>
      </rPr>
      <t>L. 'Manila'</t>
    </r>
  </si>
  <si>
    <r>
      <t xml:space="preserve">Mangifera indica </t>
    </r>
    <r>
      <rPr>
        <sz val="11"/>
        <color theme="1"/>
        <rFont val="Aptos Narrow"/>
        <family val="2"/>
        <scheme val="minor"/>
      </rPr>
      <t>L. 'Petacón'</t>
    </r>
  </si>
  <si>
    <r>
      <t xml:space="preserve">Pouteria sapota </t>
    </r>
    <r>
      <rPr>
        <sz val="11"/>
        <color theme="1"/>
        <rFont val="Aptos Narrow"/>
        <family val="2"/>
        <scheme val="minor"/>
      </rPr>
      <t>(Jacq.) H.E. Moore &amp; Stearn</t>
    </r>
  </si>
  <si>
    <r>
      <t xml:space="preserve">Tamarindus indica </t>
    </r>
    <r>
      <rPr>
        <sz val="11"/>
        <color theme="1"/>
        <rFont val="Aptos Narrow"/>
        <family val="2"/>
        <scheme val="minor"/>
      </rPr>
      <t>L.</t>
    </r>
  </si>
  <si>
    <r>
      <t xml:space="preserve">Manilkara zapota </t>
    </r>
    <r>
      <rPr>
        <sz val="11"/>
        <color theme="1"/>
        <rFont val="Aptos Narrow"/>
        <family val="2"/>
        <scheme val="minor"/>
      </rPr>
      <t>(L.) P.Royen</t>
    </r>
  </si>
  <si>
    <r>
      <t>Coffea arabica</t>
    </r>
    <r>
      <rPr>
        <sz val="11"/>
        <color theme="1"/>
        <rFont val="Aptos Narrow"/>
        <family val="2"/>
        <scheme val="minor"/>
      </rPr>
      <t xml:space="preserve"> L. cv. Mundo Novo</t>
    </r>
  </si>
  <si>
    <r>
      <t xml:space="preserve">Coffea arabica </t>
    </r>
    <r>
      <rPr>
        <sz val="11"/>
        <color theme="1"/>
        <rFont val="Aptos Narrow"/>
        <family val="2"/>
        <scheme val="minor"/>
      </rPr>
      <t>L. cv. Caturra</t>
    </r>
  </si>
  <si>
    <r>
      <t xml:space="preserve">Citrus sinensis </t>
    </r>
    <r>
      <rPr>
        <sz val="11"/>
        <color theme="1"/>
        <rFont val="Aptos Narrow"/>
        <family val="2"/>
        <scheme val="minor"/>
      </rPr>
      <t>(L.) Osbeck</t>
    </r>
  </si>
  <si>
    <r>
      <t xml:space="preserve">Citrus reticulata </t>
    </r>
    <r>
      <rPr>
        <sz val="11"/>
        <color theme="1"/>
        <rFont val="Aptos Narrow"/>
        <family val="2"/>
        <scheme val="minor"/>
      </rPr>
      <t>Blanco</t>
    </r>
  </si>
  <si>
    <r>
      <t xml:space="preserve">Litchi chinensis </t>
    </r>
    <r>
      <rPr>
        <sz val="11"/>
        <color theme="1"/>
        <rFont val="Aptos Narrow"/>
        <family val="2"/>
        <scheme val="minor"/>
      </rPr>
      <t>Sonn</t>
    </r>
  </si>
  <si>
    <r>
      <t xml:space="preserve">Citrus limon </t>
    </r>
    <r>
      <rPr>
        <sz val="11"/>
        <color theme="1"/>
        <rFont val="Aptos Narrow"/>
        <family val="2"/>
        <scheme val="minor"/>
      </rPr>
      <t>(L.) Burm. f.</t>
    </r>
  </si>
  <si>
    <r>
      <t xml:space="preserve">Psidium friedrichsthalianum </t>
    </r>
    <r>
      <rPr>
        <sz val="11"/>
        <color theme="1"/>
        <rFont val="Aptos Narrow"/>
        <family val="2"/>
        <scheme val="minor"/>
      </rPr>
      <t>O. Berg.</t>
    </r>
  </si>
  <si>
    <r>
      <t>Psidium guajava</t>
    </r>
    <r>
      <rPr>
        <sz val="11"/>
        <color theme="1"/>
        <rFont val="Aptos Narrow"/>
        <family val="2"/>
        <scheme val="minor"/>
      </rPr>
      <t xml:space="preserve"> L.</t>
    </r>
  </si>
  <si>
    <r>
      <t xml:space="preserve">Spondias mombin </t>
    </r>
    <r>
      <rPr>
        <sz val="11"/>
        <color theme="1"/>
        <rFont val="Aptos Narrow"/>
        <family val="2"/>
        <scheme val="minor"/>
      </rPr>
      <t>L.</t>
    </r>
  </si>
  <si>
    <r>
      <t>Theobroma cacao</t>
    </r>
    <r>
      <rPr>
        <sz val="11"/>
        <color theme="1"/>
        <rFont val="Aptos Narrow"/>
        <family val="2"/>
        <scheme val="minor"/>
      </rPr>
      <t xml:space="preserve"> L. var. tigre</t>
    </r>
  </si>
  <si>
    <r>
      <rPr>
        <i/>
        <sz val="11"/>
        <color theme="1"/>
        <rFont val="Aptos Narrow"/>
        <family val="2"/>
        <scheme val="minor"/>
      </rPr>
      <t>Musa paradisiaca</t>
    </r>
    <r>
      <rPr>
        <sz val="11"/>
        <color theme="1"/>
        <rFont val="Aptos Narrow"/>
        <family val="2"/>
        <scheme val="minor"/>
      </rPr>
      <t xml:space="preserve"> L.</t>
    </r>
  </si>
  <si>
    <r>
      <t xml:space="preserve">Theobroma cacao </t>
    </r>
    <r>
      <rPr>
        <sz val="11"/>
        <color theme="1"/>
        <rFont val="Aptos Narrow"/>
        <family val="2"/>
        <scheme val="minor"/>
      </rPr>
      <t>L.</t>
    </r>
  </si>
  <si>
    <r>
      <t xml:space="preserve">Persea americana </t>
    </r>
    <r>
      <rPr>
        <sz val="11"/>
        <color theme="1"/>
        <rFont val="Aptos Narrow"/>
        <family val="2"/>
        <scheme val="minor"/>
      </rPr>
      <t>Mill.</t>
    </r>
  </si>
  <si>
    <r>
      <t>Cocos nucifera</t>
    </r>
    <r>
      <rPr>
        <sz val="11"/>
        <color theme="1"/>
        <rFont val="Aptos Narrow"/>
        <family val="2"/>
        <scheme val="minor"/>
      </rPr>
      <t xml:space="preserve"> L.</t>
    </r>
  </si>
  <si>
    <r>
      <t xml:space="preserve">Cordia alliodora </t>
    </r>
    <r>
      <rPr>
        <sz val="11"/>
        <color theme="1"/>
        <rFont val="Aptos Narrow"/>
        <family val="2"/>
        <scheme val="minor"/>
      </rPr>
      <t>(Ruiz &amp; Pav.) Oken</t>
    </r>
  </si>
  <si>
    <t>Aguardientillo</t>
  </si>
  <si>
    <r>
      <rPr>
        <i/>
        <sz val="11"/>
        <color theme="1"/>
        <rFont val="Aptos Narrow"/>
        <family val="2"/>
        <scheme val="minor"/>
      </rPr>
      <t>Musa acuminata</t>
    </r>
    <r>
      <rPr>
        <sz val="11"/>
        <color theme="1"/>
        <rFont val="Aptos Narrow"/>
        <family val="2"/>
        <scheme val="minor"/>
      </rPr>
      <t xml:space="preserve"> Colla</t>
    </r>
  </si>
  <si>
    <t>CANTIDAD</t>
  </si>
  <si>
    <r>
      <rPr>
        <i/>
        <sz val="11"/>
        <color theme="1"/>
        <rFont val="Aptos Narrow"/>
        <family val="2"/>
        <scheme val="minor"/>
      </rPr>
      <t>Byrsonima crassifolia</t>
    </r>
    <r>
      <rPr>
        <sz val="11"/>
        <color theme="1"/>
        <rFont val="Aptos Narrow"/>
        <family val="2"/>
        <scheme val="minor"/>
      </rPr>
      <t xml:space="preserve"> (L.) Kunth.</t>
    </r>
  </si>
  <si>
    <r>
      <t>Annona reticulata</t>
    </r>
    <r>
      <rPr>
        <sz val="11"/>
        <color theme="1"/>
        <rFont val="Aptos Narrow"/>
        <family val="2"/>
        <scheme val="minor"/>
      </rPr>
      <t xml:space="preserve"> L.</t>
    </r>
  </si>
  <si>
    <r>
      <t>Chamaedorea tepejilote</t>
    </r>
    <r>
      <rPr>
        <sz val="11"/>
        <color theme="1"/>
        <rFont val="Aptos Narrow"/>
        <family val="2"/>
        <scheme val="minor"/>
      </rPr>
      <t xml:space="preserve"> Liebm.</t>
    </r>
  </si>
  <si>
    <r>
      <t>Spondias purpurea</t>
    </r>
    <r>
      <rPr>
        <sz val="11"/>
        <color theme="1"/>
        <rFont val="Aptos Narrow"/>
        <family val="2"/>
        <scheme val="minor"/>
      </rPr>
      <t xml:space="preserve"> L.</t>
    </r>
  </si>
  <si>
    <r>
      <rPr>
        <i/>
        <sz val="11"/>
        <color theme="1"/>
        <rFont val="Aptos Narrow"/>
        <family val="2"/>
        <scheme val="minor"/>
      </rPr>
      <t>Persea schiedean</t>
    </r>
    <r>
      <rPr>
        <sz val="11"/>
        <color theme="1"/>
        <rFont val="Aptos Narrow"/>
        <family val="2"/>
        <scheme val="minor"/>
      </rPr>
      <t>a Nees</t>
    </r>
  </si>
  <si>
    <r>
      <rPr>
        <i/>
        <sz val="11"/>
        <color theme="1"/>
        <rFont val="Aptos Narrow"/>
        <family val="2"/>
        <scheme val="minor"/>
      </rPr>
      <t>Sideroxylon celastrinum</t>
    </r>
    <r>
      <rPr>
        <sz val="11"/>
        <color theme="1"/>
        <rFont val="Aptos Narrow"/>
        <family val="2"/>
        <scheme val="minor"/>
      </rPr>
      <t xml:space="preserve"> (Kunth) T.D.Penn</t>
    </r>
  </si>
  <si>
    <t>Jinicuil</t>
  </si>
  <si>
    <t>Cuajinicuil</t>
  </si>
  <si>
    <t xml:space="preserve">Mango petacón </t>
  </si>
  <si>
    <t>Café caturra</t>
  </si>
  <si>
    <t xml:space="preserve">Limón </t>
  </si>
  <si>
    <t>Guayaba agria</t>
  </si>
  <si>
    <t>Guayaba cimarrón</t>
  </si>
  <si>
    <t xml:space="preserve">Aguacate </t>
  </si>
  <si>
    <t xml:space="preserve">Plátano tabasco </t>
  </si>
  <si>
    <t xml:space="preserve">Plátano manzano </t>
  </si>
  <si>
    <t>Coco</t>
  </si>
  <si>
    <t>Nanche rojo</t>
  </si>
  <si>
    <t>Anona colorada</t>
  </si>
  <si>
    <t>Tepejilote</t>
  </si>
  <si>
    <t>Ciruela mexicana</t>
  </si>
  <si>
    <t>Chinene</t>
  </si>
  <si>
    <t>Rambután</t>
  </si>
  <si>
    <t xml:space="preserve">Café mundo novo </t>
  </si>
  <si>
    <t xml:space="preserve">Nombre Comun </t>
  </si>
  <si>
    <t>cantidad</t>
  </si>
  <si>
    <t>no</t>
  </si>
  <si>
    <t>Smiley et al. (2008)</t>
  </si>
  <si>
    <t>Segura y Andrade (2008)</t>
  </si>
  <si>
    <t>Goodman et al. (2013)</t>
  </si>
  <si>
    <t>Acosta et al. (2002)</t>
  </si>
  <si>
    <t>Cairns et al. (2003)</t>
  </si>
  <si>
    <t>Rodriguez et al. (2008)</t>
  </si>
  <si>
    <t>Benavides et al. (2021)</t>
  </si>
  <si>
    <t>Solano et al. (2014)</t>
  </si>
  <si>
    <r>
      <rPr>
        <i/>
        <sz val="11"/>
        <color theme="1"/>
        <rFont val="Aptos Narrow"/>
        <family val="2"/>
        <scheme val="minor"/>
      </rPr>
      <t>Persea schiedeana</t>
    </r>
    <r>
      <rPr>
        <sz val="11"/>
        <color theme="1"/>
        <rFont val="Aptos Narrow"/>
        <family val="2"/>
        <scheme val="minor"/>
      </rPr>
      <t xml:space="preserve"> Nees</t>
    </r>
  </si>
  <si>
    <t>Alcudia-Aguilar et al., 2019</t>
  </si>
  <si>
    <t>Espinoza-Dominguez et al. (2012)</t>
  </si>
  <si>
    <t>Sierra et al. (2007)</t>
  </si>
  <si>
    <t>Chave et al. (2005)</t>
  </si>
  <si>
    <t>Nogueira et al. (2008)</t>
  </si>
  <si>
    <t>Hung et al. (2012)</t>
  </si>
  <si>
    <t>Chave et al. (2014)</t>
  </si>
  <si>
    <r>
      <rPr>
        <i/>
        <sz val="11"/>
        <color theme="1"/>
        <rFont val="Aptos Narrow"/>
        <family val="2"/>
        <scheme val="minor"/>
      </rPr>
      <t>Nephelium lappaceum</t>
    </r>
    <r>
      <rPr>
        <sz val="11"/>
        <color theme="1"/>
        <rFont val="Aptos Narrow"/>
        <family val="2"/>
        <scheme val="minor"/>
      </rPr>
      <t xml:space="preserve"> L.</t>
    </r>
  </si>
  <si>
    <t>H</t>
  </si>
  <si>
    <t>DB</t>
  </si>
  <si>
    <t>DC</t>
  </si>
  <si>
    <t>DN</t>
  </si>
  <si>
    <t>BIO</t>
  </si>
  <si>
    <t>C</t>
  </si>
  <si>
    <t>d</t>
  </si>
  <si>
    <r>
      <t>BA= 0.0509*(WdDN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H)</t>
    </r>
  </si>
  <si>
    <r>
      <t>BA= 0.202*(DB)</t>
    </r>
    <r>
      <rPr>
        <vertAlign val="superscript"/>
        <sz val="11"/>
        <color theme="1"/>
        <rFont val="Aptos Narrow"/>
        <family val="2"/>
        <scheme val="minor"/>
      </rPr>
      <t>2.112</t>
    </r>
  </si>
  <si>
    <r>
      <t>BA= 0.2811*(DN)</t>
    </r>
    <r>
      <rPr>
        <vertAlign val="superscript"/>
        <sz val="11"/>
        <color theme="1"/>
        <rFont val="Aptos Narrow"/>
        <family val="2"/>
        <scheme val="minor"/>
      </rPr>
      <t>2.0635</t>
    </r>
  </si>
  <si>
    <r>
      <t>BA= 0.2811*(DN)</t>
    </r>
    <r>
      <rPr>
        <vertAlign val="superscript"/>
        <sz val="11"/>
        <color theme="1"/>
        <rFont val="Aptos Narrow"/>
        <family val="2"/>
        <scheme val="minor"/>
      </rPr>
      <t>2.0636</t>
    </r>
    <r>
      <rPr>
        <sz val="11"/>
        <color theme="1"/>
        <rFont val="Aptos Narrow"/>
        <family val="2"/>
        <scheme val="minor"/>
      </rPr>
      <t/>
    </r>
  </si>
  <si>
    <t>Hairiah et al . (2001)</t>
  </si>
  <si>
    <r>
      <t>BA= 0.0447*(DN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H)</t>
    </r>
  </si>
  <si>
    <t>Frangi y Lugo (1985)</t>
  </si>
  <si>
    <t>BA = 4.5+7.7*(H)</t>
  </si>
  <si>
    <r>
      <t>BA= 0.00341*(DN)</t>
    </r>
    <r>
      <rPr>
        <vertAlign val="superscript"/>
        <sz val="11"/>
        <color theme="1"/>
        <rFont val="Aptos Narrow"/>
        <family val="2"/>
        <scheme val="minor"/>
      </rPr>
      <t>3.38248</t>
    </r>
  </si>
  <si>
    <r>
      <t>BA= Exp(-1.76)*(DN)</t>
    </r>
    <r>
      <rPr>
        <vertAlign val="superscript"/>
        <sz val="11"/>
        <color theme="1"/>
        <rFont val="Aptos Narrow"/>
        <family val="2"/>
        <scheme val="minor"/>
      </rPr>
      <t>2.26</t>
    </r>
  </si>
  <si>
    <r>
      <t>BA=EXP (-1.716)*(DN)</t>
    </r>
    <r>
      <rPr>
        <vertAlign val="superscript"/>
        <sz val="11"/>
        <color theme="1"/>
        <rFont val="Aptos Narrow"/>
        <family val="2"/>
        <scheme val="minor"/>
      </rPr>
      <t>2.413</t>
    </r>
  </si>
  <si>
    <r>
      <t>BA= 0.246689*(DN)</t>
    </r>
    <r>
      <rPr>
        <vertAlign val="superscript"/>
        <sz val="11"/>
        <color theme="1"/>
        <rFont val="Aptos Narrow"/>
        <family val="2"/>
        <scheme val="minor"/>
      </rPr>
      <t>2.24992</t>
    </r>
  </si>
  <si>
    <r>
      <t>BA= 0.246689*(DN)</t>
    </r>
    <r>
      <rPr>
        <vertAlign val="superscript"/>
        <sz val="11"/>
        <color theme="1"/>
        <rFont val="Aptos Narrow"/>
        <family val="2"/>
        <scheme val="minor"/>
      </rPr>
      <t>2.24993</t>
    </r>
    <r>
      <rPr>
        <sz val="11"/>
        <color theme="1"/>
        <rFont val="Aptos Narrow"/>
        <family val="2"/>
        <scheme val="minor"/>
      </rPr>
      <t/>
    </r>
  </si>
  <si>
    <t>COB</t>
  </si>
  <si>
    <r>
      <t>BA= 10</t>
    </r>
    <r>
      <rPr>
        <vertAlign val="superscript"/>
        <sz val="11"/>
        <color theme="1"/>
        <rFont val="Aptos Narrow"/>
        <family val="2"/>
        <scheme val="minor"/>
      </rPr>
      <t>(-1.11+2.64*Log(DN))</t>
    </r>
  </si>
  <si>
    <r>
      <t>BA= 0.0673*(WdDN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H)</t>
    </r>
    <r>
      <rPr>
        <vertAlign val="superscript"/>
        <sz val="11"/>
        <color theme="1"/>
        <rFont val="Aptos Narrow"/>
        <family val="2"/>
        <scheme val="minor"/>
      </rPr>
      <t>0.976</t>
    </r>
  </si>
  <si>
    <r>
      <t>BA= 6.64+0.279*(AB)+0.000514*(AB)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</si>
  <si>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BA= 0.0530*(DN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H</t>
    </r>
    <r>
      <rPr>
        <vertAlign val="superscript"/>
        <sz val="11"/>
        <color theme="1"/>
        <rFont val="Aptos Narrow"/>
        <family val="2"/>
        <scheme val="minor"/>
      </rPr>
      <t>0.7</t>
    </r>
    <r>
      <rPr>
        <sz val="11"/>
        <color theme="1"/>
        <rFont val="Aptos Narrow"/>
        <family val="2"/>
        <scheme val="minor"/>
      </rPr>
      <t>)</t>
    </r>
    <r>
      <rPr>
        <vertAlign val="superscript"/>
        <sz val="11"/>
        <color theme="1"/>
        <rFont val="Aptos Narrow"/>
        <family val="2"/>
        <scheme val="minor"/>
      </rPr>
      <t>1.0072</t>
    </r>
  </si>
  <si>
    <t>total</t>
  </si>
  <si>
    <r>
      <t>BA= (0.0391*(DB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H)</t>
    </r>
    <r>
      <rPr>
        <vertAlign val="superscript"/>
        <sz val="11"/>
        <color theme="1"/>
        <rFont val="Aptos Narrow"/>
        <family val="2"/>
        <scheme val="minor"/>
      </rPr>
      <t>0.5151</t>
    </r>
    <r>
      <rPr>
        <sz val="11"/>
        <color theme="1"/>
        <rFont val="Aptos Narrow"/>
        <family val="2"/>
        <scheme val="minor"/>
      </rPr>
      <t>)+(0.0085*(DB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H)</t>
    </r>
    <r>
      <rPr>
        <vertAlign val="superscript"/>
        <sz val="11"/>
        <color theme="1"/>
        <rFont val="Aptos Narrow"/>
        <family val="2"/>
        <scheme val="minor"/>
      </rPr>
      <t>1.045</t>
    </r>
    <r>
      <rPr>
        <sz val="11"/>
        <color theme="1"/>
        <rFont val="Aptos Narrow"/>
        <family val="2"/>
        <scheme val="minor"/>
      </rPr>
      <t>)+ (0.0853*(DB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H)</t>
    </r>
    <r>
      <rPr>
        <vertAlign val="superscript"/>
        <sz val="11"/>
        <color theme="1"/>
        <rFont val="Aptos Narrow"/>
        <family val="2"/>
        <scheme val="minor"/>
      </rPr>
      <t>0.5345</t>
    </r>
    <r>
      <rPr>
        <sz val="11"/>
        <color theme="1"/>
        <rFont val="Aptos Narrow"/>
        <family val="2"/>
        <scheme val="minor"/>
      </rPr>
      <t>)</t>
    </r>
  </si>
  <si>
    <t>BA= Exp(-2.286 +2.471*(Ln(DN))</t>
  </si>
  <si>
    <r>
      <t xml:space="preserve"> BA= -0.0927+0.0203*(DN)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</si>
  <si>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BA= 0.112*(WdDN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H)</t>
    </r>
    <r>
      <rPr>
        <vertAlign val="superscript"/>
        <sz val="11"/>
        <color theme="1"/>
        <rFont val="Aptos Narrow"/>
        <family val="2"/>
        <scheme val="minor"/>
      </rPr>
      <t>0.916</t>
    </r>
  </si>
  <si>
    <t>BA= -3.3488+2.7483*Ln(DN)</t>
  </si>
  <si>
    <t>Fuente</t>
  </si>
  <si>
    <t>Ecuaciones alometricas</t>
  </si>
  <si>
    <t>Lauraceae</t>
  </si>
  <si>
    <t>Boraginaceae</t>
  </si>
  <si>
    <t>Annonaceae</t>
  </si>
  <si>
    <t>Malvaceae</t>
  </si>
  <si>
    <t>Rubiaceae</t>
  </si>
  <si>
    <t>Meliaceae</t>
  </si>
  <si>
    <t>Sapotaceae</t>
  </si>
  <si>
    <t>Anacardiaceae</t>
  </si>
  <si>
    <t>Arecaceae</t>
  </si>
  <si>
    <t>Fabaceae</t>
  </si>
  <si>
    <t>Myrtaceae</t>
  </si>
  <si>
    <t>Sapindaceae</t>
  </si>
  <si>
    <t>Rutaceae</t>
  </si>
  <si>
    <t>Malpighiaceae</t>
  </si>
  <si>
    <t>Musaceae</t>
  </si>
  <si>
    <t>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</si>
</sst>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 wrapText="1"/>
    </xf>
    <xf numFmtId="0" fontId="4" fillId="0" borderId="0" xfId="0" applyFon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50B4D-8C64-4508-9294-32D40C4E5AA9}">
  <dimension ref="A1:G31"/>
  <sheetViews>
    <sheetView topLeftCell="B28" zoomScale="106" zoomScaleNormal="106" workbookViewId="0">
      <selection activeCell="F13" sqref="F13"/>
    </sheetView>
  </sheetViews>
  <sheetFormatPr baseColWidth="10" defaultRowHeight="15" x14ac:dyDescent="0.25"/>
  <cols>
    <col min="1" max="1" width="8.7109375" style="1" bestFit="1" customWidth="1"/>
    <col min="2" max="2" width="17.5703125" style="3" bestFit="1" customWidth="1"/>
    <col min="3" max="3" width="39.85546875" style="2" customWidth="1"/>
    <col min="4" max="4" width="10.28515625" style="2" bestFit="1" customWidth="1"/>
    <col min="5" max="5" width="12.42578125" bestFit="1" customWidth="1"/>
    <col min="6" max="6" width="27.140625" customWidth="1"/>
    <col min="7" max="7" width="30.5703125" bestFit="1" customWidth="1"/>
  </cols>
  <sheetData>
    <row r="1" spans="1:7" x14ac:dyDescent="0.25">
      <c r="A1" s="1" t="s">
        <v>6</v>
      </c>
      <c r="B1" s="3" t="s">
        <v>1</v>
      </c>
      <c r="C1" s="2" t="s">
        <v>2</v>
      </c>
      <c r="D1" s="2" t="s">
        <v>132</v>
      </c>
      <c r="E1" t="s">
        <v>39</v>
      </c>
      <c r="F1" t="s">
        <v>116</v>
      </c>
      <c r="G1" t="s">
        <v>115</v>
      </c>
    </row>
    <row r="2" spans="1:7" ht="16.5" x14ac:dyDescent="0.25">
      <c r="A2" s="1">
        <v>4</v>
      </c>
      <c r="B2" s="3" t="s">
        <v>47</v>
      </c>
      <c r="C2" s="5" t="s">
        <v>16</v>
      </c>
      <c r="D2" s="9" t="s">
        <v>126</v>
      </c>
      <c r="E2">
        <v>12</v>
      </c>
      <c r="F2" t="s">
        <v>100</v>
      </c>
      <c r="G2" t="s">
        <v>70</v>
      </c>
    </row>
    <row r="3" spans="1:7" ht="16.5" x14ac:dyDescent="0.25">
      <c r="A3" s="1">
        <v>3</v>
      </c>
      <c r="B3" s="3" t="s">
        <v>46</v>
      </c>
      <c r="C3" s="6" t="s">
        <v>15</v>
      </c>
      <c r="D3" s="9" t="s">
        <v>126</v>
      </c>
      <c r="E3">
        <v>5</v>
      </c>
      <c r="F3" t="s">
        <v>100</v>
      </c>
      <c r="G3" t="s">
        <v>70</v>
      </c>
    </row>
    <row r="4" spans="1:7" ht="16.5" x14ac:dyDescent="0.25">
      <c r="A4" s="1">
        <v>23</v>
      </c>
      <c r="B4" s="3" t="s">
        <v>55</v>
      </c>
      <c r="C4" t="s">
        <v>38</v>
      </c>
      <c r="D4" s="9" t="s">
        <v>131</v>
      </c>
      <c r="E4">
        <v>15</v>
      </c>
      <c r="F4" s="2" t="s">
        <v>112</v>
      </c>
      <c r="G4" t="s">
        <v>76</v>
      </c>
    </row>
    <row r="5" spans="1:7" ht="16.5" x14ac:dyDescent="0.25">
      <c r="A5" s="1">
        <v>22</v>
      </c>
      <c r="B5" s="3" t="s">
        <v>54</v>
      </c>
      <c r="C5" t="s">
        <v>32</v>
      </c>
      <c r="D5" s="9" t="s">
        <v>131</v>
      </c>
      <c r="E5">
        <v>24</v>
      </c>
      <c r="F5" s="2" t="s">
        <v>112</v>
      </c>
      <c r="G5" t="s">
        <v>76</v>
      </c>
    </row>
    <row r="6" spans="1:7" ht="16.5" x14ac:dyDescent="0.25">
      <c r="A6" s="1">
        <v>1</v>
      </c>
      <c r="B6" s="3" t="s">
        <v>4</v>
      </c>
      <c r="C6" s="5" t="s">
        <v>0</v>
      </c>
      <c r="D6" s="9" t="s">
        <v>122</v>
      </c>
      <c r="E6">
        <v>23</v>
      </c>
      <c r="F6" t="s">
        <v>99</v>
      </c>
      <c r="G6" t="s">
        <v>73</v>
      </c>
    </row>
    <row r="7" spans="1:7" ht="30" x14ac:dyDescent="0.25">
      <c r="A7" s="1">
        <v>8</v>
      </c>
      <c r="B7" s="3" t="s">
        <v>7</v>
      </c>
      <c r="C7" s="5" t="s">
        <v>21</v>
      </c>
      <c r="D7" s="9" t="s">
        <v>123</v>
      </c>
      <c r="E7">
        <v>2</v>
      </c>
      <c r="F7" t="s">
        <v>96</v>
      </c>
      <c r="G7" t="s">
        <v>71</v>
      </c>
    </row>
    <row r="8" spans="1:7" ht="30" x14ac:dyDescent="0.25">
      <c r="A8" s="1">
        <v>7</v>
      </c>
      <c r="B8" s="3" t="s">
        <v>14</v>
      </c>
      <c r="C8" s="5" t="s">
        <v>19</v>
      </c>
      <c r="D8" s="9" t="s">
        <v>123</v>
      </c>
      <c r="E8">
        <v>6</v>
      </c>
      <c r="F8" t="s">
        <v>96</v>
      </c>
      <c r="G8" t="s">
        <v>71</v>
      </c>
    </row>
    <row r="9" spans="1:7" ht="16.5" x14ac:dyDescent="0.25">
      <c r="A9" s="1">
        <v>19</v>
      </c>
      <c r="B9" s="3" t="s">
        <v>53</v>
      </c>
      <c r="C9" s="5" t="s">
        <v>34</v>
      </c>
      <c r="D9" s="9" t="s">
        <v>117</v>
      </c>
      <c r="E9">
        <v>6</v>
      </c>
      <c r="F9" t="s">
        <v>91</v>
      </c>
      <c r="G9" t="s">
        <v>79</v>
      </c>
    </row>
    <row r="10" spans="1:7" ht="16.5" x14ac:dyDescent="0.25">
      <c r="A10" s="1">
        <v>30</v>
      </c>
      <c r="B10" s="3" t="s">
        <v>61</v>
      </c>
      <c r="C10" s="2" t="s">
        <v>75</v>
      </c>
      <c r="D10" s="9" t="s">
        <v>117</v>
      </c>
      <c r="E10">
        <v>10</v>
      </c>
      <c r="F10" t="s">
        <v>91</v>
      </c>
      <c r="G10" t="s">
        <v>79</v>
      </c>
    </row>
    <row r="11" spans="1:7" ht="16.5" x14ac:dyDescent="0.25">
      <c r="A11" s="1">
        <v>9</v>
      </c>
      <c r="B11" s="3" t="s">
        <v>8</v>
      </c>
      <c r="C11" s="5" t="s">
        <v>20</v>
      </c>
      <c r="D11" s="9" t="s">
        <v>126</v>
      </c>
      <c r="E11">
        <v>3</v>
      </c>
      <c r="F11" t="s">
        <v>113</v>
      </c>
      <c r="G11" t="s">
        <v>79</v>
      </c>
    </row>
    <row r="12" spans="1:7" ht="30" x14ac:dyDescent="0.25">
      <c r="A12" s="1">
        <v>10</v>
      </c>
      <c r="B12" s="3" t="s">
        <v>9</v>
      </c>
      <c r="C12" s="5" t="s">
        <v>26</v>
      </c>
      <c r="D12" s="9" t="s">
        <v>128</v>
      </c>
      <c r="E12">
        <v>11</v>
      </c>
      <c r="F12" t="s">
        <v>106</v>
      </c>
      <c r="G12" t="s">
        <v>82</v>
      </c>
    </row>
    <row r="13" spans="1:7" ht="30" x14ac:dyDescent="0.25">
      <c r="A13" s="1">
        <v>31</v>
      </c>
      <c r="B13" s="3" t="s">
        <v>62</v>
      </c>
      <c r="C13" t="s">
        <v>83</v>
      </c>
      <c r="D13" s="9" t="s">
        <v>128</v>
      </c>
      <c r="E13">
        <v>1</v>
      </c>
      <c r="F13" t="s">
        <v>106</v>
      </c>
      <c r="G13" t="s">
        <v>82</v>
      </c>
    </row>
    <row r="14" spans="1:7" ht="16.5" x14ac:dyDescent="0.25">
      <c r="A14" s="1">
        <v>14</v>
      </c>
      <c r="B14" s="3" t="s">
        <v>10</v>
      </c>
      <c r="C14" s="5" t="s">
        <v>25</v>
      </c>
      <c r="D14" s="9" t="s">
        <v>129</v>
      </c>
      <c r="E14">
        <v>12</v>
      </c>
      <c r="F14" t="s">
        <v>107</v>
      </c>
      <c r="G14" t="s">
        <v>77</v>
      </c>
    </row>
    <row r="15" spans="1:7" ht="16.5" x14ac:dyDescent="0.25">
      <c r="A15" s="1">
        <v>13</v>
      </c>
      <c r="B15" s="3" t="s">
        <v>3</v>
      </c>
      <c r="C15" s="5" t="s">
        <v>24</v>
      </c>
      <c r="D15" s="9" t="s">
        <v>129</v>
      </c>
      <c r="E15">
        <v>29</v>
      </c>
      <c r="F15" t="s">
        <v>107</v>
      </c>
      <c r="G15" t="s">
        <v>77</v>
      </c>
    </row>
    <row r="16" spans="1:7" x14ac:dyDescent="0.25">
      <c r="A16" s="1">
        <v>24</v>
      </c>
      <c r="B16" s="3" t="s">
        <v>56</v>
      </c>
      <c r="C16" s="4" t="s">
        <v>35</v>
      </c>
      <c r="D16" s="9" t="s">
        <v>125</v>
      </c>
      <c r="E16">
        <v>9</v>
      </c>
      <c r="F16" t="s">
        <v>98</v>
      </c>
      <c r="G16" t="s">
        <v>97</v>
      </c>
    </row>
    <row r="17" spans="1:7" x14ac:dyDescent="0.25">
      <c r="A17" s="1">
        <v>27</v>
      </c>
      <c r="B17" s="3" t="s">
        <v>59</v>
      </c>
      <c r="C17" s="4" t="s">
        <v>42</v>
      </c>
      <c r="D17" s="9" t="s">
        <v>125</v>
      </c>
      <c r="E17">
        <v>12</v>
      </c>
      <c r="F17" t="s">
        <v>114</v>
      </c>
      <c r="G17" t="s">
        <v>69</v>
      </c>
    </row>
    <row r="18" spans="1:7" ht="16.5" x14ac:dyDescent="0.25">
      <c r="A18" s="1">
        <v>12</v>
      </c>
      <c r="B18" s="3" t="s">
        <v>49</v>
      </c>
      <c r="C18" s="5" t="s">
        <v>23</v>
      </c>
      <c r="D18" s="9" t="s">
        <v>121</v>
      </c>
      <c r="E18">
        <v>800</v>
      </c>
      <c r="F18" t="s">
        <v>93</v>
      </c>
      <c r="G18" s="19" t="s">
        <v>95</v>
      </c>
    </row>
    <row r="19" spans="1:7" ht="16.5" x14ac:dyDescent="0.25">
      <c r="A19" s="1">
        <v>11</v>
      </c>
      <c r="B19" s="3" t="s">
        <v>63</v>
      </c>
      <c r="C19" s="5" t="s">
        <v>22</v>
      </c>
      <c r="D19" s="9" t="s">
        <v>121</v>
      </c>
      <c r="E19">
        <v>800</v>
      </c>
      <c r="F19" t="s">
        <v>94</v>
      </c>
      <c r="G19" s="19" t="s">
        <v>95</v>
      </c>
    </row>
    <row r="20" spans="1:7" ht="30" x14ac:dyDescent="0.25">
      <c r="A20" s="1">
        <v>6</v>
      </c>
      <c r="B20" s="3" t="s">
        <v>5</v>
      </c>
      <c r="C20" s="5" t="s">
        <v>17</v>
      </c>
      <c r="D20" s="9" t="s">
        <v>124</v>
      </c>
      <c r="E20">
        <v>5</v>
      </c>
      <c r="F20" t="s">
        <v>108</v>
      </c>
      <c r="G20" t="s">
        <v>81</v>
      </c>
    </row>
    <row r="21" spans="1:7" ht="30" x14ac:dyDescent="0.25">
      <c r="A21" s="1">
        <v>5</v>
      </c>
      <c r="B21" s="3" t="s">
        <v>48</v>
      </c>
      <c r="C21" s="6" t="s">
        <v>18</v>
      </c>
      <c r="D21" s="9" t="s">
        <v>124</v>
      </c>
      <c r="E21">
        <v>4</v>
      </c>
      <c r="F21" t="s">
        <v>108</v>
      </c>
      <c r="G21" t="s">
        <v>81</v>
      </c>
    </row>
    <row r="22" spans="1:7" ht="30" x14ac:dyDescent="0.25">
      <c r="A22" s="1">
        <v>26</v>
      </c>
      <c r="B22" s="3" t="s">
        <v>58</v>
      </c>
      <c r="C22" s="17" t="s">
        <v>41</v>
      </c>
      <c r="D22" s="18" t="s">
        <v>119</v>
      </c>
      <c r="E22" s="16">
        <v>3</v>
      </c>
      <c r="F22" s="16" t="s">
        <v>101</v>
      </c>
      <c r="G22" s="16" t="s">
        <v>80</v>
      </c>
    </row>
    <row r="23" spans="1:7" ht="30" x14ac:dyDescent="0.25">
      <c r="A23" s="1">
        <v>18</v>
      </c>
      <c r="B23" s="3" t="s">
        <v>11</v>
      </c>
      <c r="C23" s="5" t="s">
        <v>30</v>
      </c>
      <c r="D23" s="9" t="s">
        <v>124</v>
      </c>
      <c r="E23">
        <v>2</v>
      </c>
      <c r="F23" s="16" t="s">
        <v>101</v>
      </c>
      <c r="G23" s="16" t="s">
        <v>80</v>
      </c>
    </row>
    <row r="24" spans="1:7" ht="30" x14ac:dyDescent="0.25">
      <c r="A24" s="1">
        <v>28</v>
      </c>
      <c r="B24" s="3" t="s">
        <v>60</v>
      </c>
      <c r="C24" s="4" t="s">
        <v>43</v>
      </c>
      <c r="D24" s="9" t="s">
        <v>124</v>
      </c>
      <c r="E24">
        <v>2</v>
      </c>
      <c r="F24" s="16" t="s">
        <v>101</v>
      </c>
      <c r="G24" s="16" t="s">
        <v>80</v>
      </c>
    </row>
    <row r="25" spans="1:7" ht="16.5" x14ac:dyDescent="0.25">
      <c r="A25" s="1">
        <v>16</v>
      </c>
      <c r="B25" s="3" t="s">
        <v>51</v>
      </c>
      <c r="C25" s="5" t="s">
        <v>28</v>
      </c>
      <c r="D25" s="9" t="s">
        <v>127</v>
      </c>
      <c r="E25">
        <v>8</v>
      </c>
      <c r="F25" t="s">
        <v>102</v>
      </c>
      <c r="G25" t="s">
        <v>72</v>
      </c>
    </row>
    <row r="26" spans="1:7" ht="16.5" x14ac:dyDescent="0.25">
      <c r="A26" s="1">
        <v>17</v>
      </c>
      <c r="B26" s="3" t="s">
        <v>52</v>
      </c>
      <c r="C26" s="4" t="s">
        <v>29</v>
      </c>
      <c r="D26" s="9" t="s">
        <v>127</v>
      </c>
      <c r="E26">
        <v>15</v>
      </c>
      <c r="F26" t="s">
        <v>103</v>
      </c>
      <c r="G26" t="s">
        <v>72</v>
      </c>
    </row>
    <row r="27" spans="1:7" ht="16.5" x14ac:dyDescent="0.25">
      <c r="A27" s="1">
        <v>15</v>
      </c>
      <c r="B27" s="3" t="s">
        <v>50</v>
      </c>
      <c r="C27" s="5" t="s">
        <v>27</v>
      </c>
      <c r="D27" s="9" t="s">
        <v>129</v>
      </c>
      <c r="E27">
        <v>2</v>
      </c>
      <c r="F27" t="s">
        <v>105</v>
      </c>
      <c r="G27" t="s">
        <v>68</v>
      </c>
    </row>
    <row r="28" spans="1:7" ht="30" x14ac:dyDescent="0.25">
      <c r="A28" s="1">
        <v>25</v>
      </c>
      <c r="B28" s="3" t="s">
        <v>57</v>
      </c>
      <c r="C28" s="2" t="s">
        <v>40</v>
      </c>
      <c r="D28" s="9" t="s">
        <v>130</v>
      </c>
      <c r="E28">
        <v>1</v>
      </c>
      <c r="F28" t="s">
        <v>111</v>
      </c>
      <c r="G28" t="s">
        <v>78</v>
      </c>
    </row>
    <row r="29" spans="1:7" ht="30" x14ac:dyDescent="0.25">
      <c r="A29" s="1">
        <v>20</v>
      </c>
      <c r="B29" s="3" t="s">
        <v>12</v>
      </c>
      <c r="C29" s="5" t="s">
        <v>33</v>
      </c>
      <c r="D29" s="9" t="s">
        <v>120</v>
      </c>
      <c r="E29">
        <v>60</v>
      </c>
      <c r="F29" t="s">
        <v>92</v>
      </c>
      <c r="G29" t="s">
        <v>67</v>
      </c>
    </row>
    <row r="30" spans="1:7" ht="30" x14ac:dyDescent="0.25">
      <c r="A30" s="1">
        <v>21</v>
      </c>
      <c r="B30" s="3" t="s">
        <v>13</v>
      </c>
      <c r="C30" s="4" t="s">
        <v>31</v>
      </c>
      <c r="D30" s="9" t="s">
        <v>120</v>
      </c>
      <c r="E30">
        <v>27</v>
      </c>
      <c r="F30" t="s">
        <v>92</v>
      </c>
      <c r="G30" t="s">
        <v>67</v>
      </c>
    </row>
    <row r="31" spans="1:7" ht="30" x14ac:dyDescent="0.25">
      <c r="A31" s="1">
        <v>2</v>
      </c>
      <c r="B31" s="3" t="s">
        <v>37</v>
      </c>
      <c r="C31" s="5" t="s">
        <v>36</v>
      </c>
      <c r="D31" s="9" t="s">
        <v>118</v>
      </c>
      <c r="E31">
        <v>12</v>
      </c>
      <c r="F31" t="s">
        <v>110</v>
      </c>
      <c r="G31" t="s">
        <v>74</v>
      </c>
    </row>
  </sheetData>
  <autoFilter ref="A1:G1" xr:uid="{5EA50B4D-8C64-4508-9294-32D40C4E5AA9}">
    <sortState xmlns:xlrd2="http://schemas.microsoft.com/office/spreadsheetml/2017/richdata2" ref="A2:G31">
      <sortCondition ref="G1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ADFE-E029-4956-BE42-ACA16CF63E57}">
  <dimension ref="A1:P1910"/>
  <sheetViews>
    <sheetView tabSelected="1" zoomScaleNormal="100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I1519" sqref="I1519"/>
    </sheetView>
  </sheetViews>
  <sheetFormatPr baseColWidth="10" defaultRowHeight="15" x14ac:dyDescent="0.25"/>
  <cols>
    <col min="1" max="2" width="11.42578125" style="1"/>
    <col min="3" max="3" width="16.85546875" bestFit="1" customWidth="1"/>
    <col min="4" max="4" width="40" bestFit="1" customWidth="1"/>
    <col min="5" max="5" width="11.42578125" style="1"/>
    <col min="6" max="6" width="14.5703125" style="1" bestFit="1" customWidth="1"/>
    <col min="7" max="7" width="16.140625" style="1" bestFit="1" customWidth="1"/>
    <col min="8" max="8" width="16.28515625" style="1" bestFit="1" customWidth="1"/>
    <col min="9" max="9" width="16.28515625" style="1" customWidth="1"/>
    <col min="11" max="11" width="7.5703125" style="1" bestFit="1" customWidth="1"/>
  </cols>
  <sheetData>
    <row r="1" spans="1:13" x14ac:dyDescent="0.25">
      <c r="A1" s="1" t="s">
        <v>66</v>
      </c>
      <c r="B1" s="1" t="s">
        <v>65</v>
      </c>
      <c r="C1" t="s">
        <v>64</v>
      </c>
      <c r="D1" t="s">
        <v>2</v>
      </c>
      <c r="E1" s="1" t="s">
        <v>84</v>
      </c>
      <c r="F1" s="1" t="s">
        <v>85</v>
      </c>
      <c r="G1" s="1" t="s">
        <v>87</v>
      </c>
      <c r="H1" s="1" t="s">
        <v>86</v>
      </c>
      <c r="I1" s="1" t="s">
        <v>104</v>
      </c>
      <c r="J1" t="s">
        <v>90</v>
      </c>
      <c r="K1" s="1" t="s">
        <v>88</v>
      </c>
      <c r="L1" t="s">
        <v>89</v>
      </c>
      <c r="M1" s="1" t="s">
        <v>109</v>
      </c>
    </row>
    <row r="2" spans="1:13" x14ac:dyDescent="0.25">
      <c r="A2" s="1">
        <v>1</v>
      </c>
      <c r="B2" s="1">
        <v>1</v>
      </c>
      <c r="C2" s="3" t="s">
        <v>53</v>
      </c>
      <c r="D2" s="5" t="s">
        <v>34</v>
      </c>
      <c r="E2" s="10">
        <v>7.5</v>
      </c>
      <c r="F2" s="10">
        <v>35</v>
      </c>
      <c r="G2" s="10">
        <v>25</v>
      </c>
      <c r="H2" s="10">
        <v>8</v>
      </c>
      <c r="I2" s="8">
        <f>0.7854*H2^2</f>
        <v>50.265599999999999</v>
      </c>
      <c r="J2">
        <v>0.4</v>
      </c>
      <c r="K2" s="8">
        <f>0.0509*(J2*G2*G2*E2)</f>
        <v>95.4375</v>
      </c>
      <c r="L2" s="8">
        <f>K2*0.5</f>
        <v>47.71875</v>
      </c>
    </row>
    <row r="3" spans="1:13" x14ac:dyDescent="0.25">
      <c r="A3" s="1">
        <v>2</v>
      </c>
      <c r="B3" s="1">
        <v>2</v>
      </c>
      <c r="C3" s="3" t="s">
        <v>53</v>
      </c>
      <c r="D3" s="5" t="s">
        <v>34</v>
      </c>
      <c r="E3" s="10">
        <v>9</v>
      </c>
      <c r="F3" s="10">
        <v>30</v>
      </c>
      <c r="G3" s="10">
        <v>20</v>
      </c>
      <c r="H3" s="10">
        <v>6</v>
      </c>
      <c r="I3" s="8">
        <f t="shared" ref="I3:I66" si="0">0.7854*H3^2</f>
        <v>28.2744</v>
      </c>
      <c r="J3">
        <v>0.4</v>
      </c>
      <c r="K3" s="8">
        <f t="shared" ref="K3:K7" si="1">0.0509*(J3*G3*G3*E3)</f>
        <v>73.296000000000006</v>
      </c>
      <c r="L3" s="8">
        <f t="shared" ref="L3:L66" si="2">K3*0.5</f>
        <v>36.648000000000003</v>
      </c>
    </row>
    <row r="4" spans="1:13" x14ac:dyDescent="0.25">
      <c r="A4" s="1">
        <v>3</v>
      </c>
      <c r="B4" s="1">
        <v>3</v>
      </c>
      <c r="C4" s="3" t="s">
        <v>53</v>
      </c>
      <c r="D4" s="5" t="s">
        <v>34</v>
      </c>
      <c r="E4" s="10">
        <v>1.5</v>
      </c>
      <c r="F4" s="10">
        <v>6</v>
      </c>
      <c r="G4" s="10">
        <v>4.5</v>
      </c>
      <c r="H4" s="10">
        <v>1.8</v>
      </c>
      <c r="I4" s="8">
        <f t="shared" si="0"/>
        <v>2.5446960000000001</v>
      </c>
      <c r="J4">
        <v>0.4</v>
      </c>
      <c r="K4" s="8">
        <f t="shared" si="1"/>
        <v>0.61843499999999996</v>
      </c>
      <c r="L4" s="8">
        <f t="shared" si="2"/>
        <v>0.30921749999999998</v>
      </c>
    </row>
    <row r="5" spans="1:13" x14ac:dyDescent="0.25">
      <c r="A5" s="1">
        <v>4</v>
      </c>
      <c r="B5" s="1">
        <v>4</v>
      </c>
      <c r="C5" s="3" t="s">
        <v>53</v>
      </c>
      <c r="D5" s="5" t="s">
        <v>34</v>
      </c>
      <c r="E5" s="10">
        <v>2.8</v>
      </c>
      <c r="F5" s="10">
        <v>9</v>
      </c>
      <c r="G5" s="10">
        <v>6.5</v>
      </c>
      <c r="H5" s="10">
        <v>2.5</v>
      </c>
      <c r="I5" s="8">
        <f t="shared" si="0"/>
        <v>4.9087499999999995</v>
      </c>
      <c r="J5">
        <v>0.4</v>
      </c>
      <c r="K5" s="8">
        <f t="shared" si="1"/>
        <v>2.408588</v>
      </c>
      <c r="L5" s="8">
        <f t="shared" si="2"/>
        <v>1.204294</v>
      </c>
    </row>
    <row r="6" spans="1:13" x14ac:dyDescent="0.25">
      <c r="A6" s="1">
        <v>5</v>
      </c>
      <c r="B6" s="1">
        <v>5</v>
      </c>
      <c r="C6" s="3" t="s">
        <v>53</v>
      </c>
      <c r="D6" s="5" t="s">
        <v>34</v>
      </c>
      <c r="E6" s="10">
        <v>3.9</v>
      </c>
      <c r="F6" s="10">
        <v>12</v>
      </c>
      <c r="G6" s="10">
        <v>8</v>
      </c>
      <c r="H6" s="10">
        <v>3.2</v>
      </c>
      <c r="I6" s="8">
        <f t="shared" si="0"/>
        <v>8.0424960000000016</v>
      </c>
      <c r="J6">
        <v>0.4</v>
      </c>
      <c r="K6" s="8">
        <f t="shared" si="1"/>
        <v>5.0818560000000002</v>
      </c>
      <c r="L6" s="8">
        <f t="shared" si="2"/>
        <v>2.5409280000000001</v>
      </c>
    </row>
    <row r="7" spans="1:13" x14ac:dyDescent="0.25">
      <c r="A7" s="1">
        <v>6</v>
      </c>
      <c r="B7" s="1">
        <v>6</v>
      </c>
      <c r="C7" s="3" t="s">
        <v>53</v>
      </c>
      <c r="D7" s="5" t="s">
        <v>34</v>
      </c>
      <c r="E7" s="10">
        <v>6</v>
      </c>
      <c r="F7" s="10">
        <v>16</v>
      </c>
      <c r="G7" s="10">
        <v>12</v>
      </c>
      <c r="H7" s="10">
        <v>5</v>
      </c>
      <c r="I7" s="8">
        <f t="shared" si="0"/>
        <v>19.634999999999998</v>
      </c>
      <c r="J7">
        <v>0.4</v>
      </c>
      <c r="K7" s="8">
        <f t="shared" si="1"/>
        <v>17.591040000000003</v>
      </c>
      <c r="L7" s="8">
        <f t="shared" si="2"/>
        <v>8.7955200000000016</v>
      </c>
      <c r="M7">
        <f>SUM(L2:L7)</f>
        <v>97.216709499999993</v>
      </c>
    </row>
    <row r="8" spans="1:13" x14ac:dyDescent="0.25">
      <c r="A8" s="1">
        <v>7</v>
      </c>
      <c r="B8" s="1">
        <v>1</v>
      </c>
      <c r="C8" s="3" t="s">
        <v>37</v>
      </c>
      <c r="D8" s="5" t="s">
        <v>36</v>
      </c>
      <c r="E8" s="10">
        <v>30</v>
      </c>
      <c r="F8" s="10">
        <v>45</v>
      </c>
      <c r="G8" s="10">
        <v>37</v>
      </c>
      <c r="H8" s="10">
        <v>10</v>
      </c>
      <c r="I8" s="8">
        <f t="shared" si="0"/>
        <v>78.539999999999992</v>
      </c>
      <c r="K8" s="8">
        <f t="shared" ref="K8:K19" si="3">(0.0391*((G8*G8*E8)^0.5151))+(0.0085*((G8*G8*E8)^1.045))+( 0.0853*((G8*G8*E8)^0.5345))</f>
        <v>597.29835995220628</v>
      </c>
      <c r="L8" s="8">
        <f t="shared" si="2"/>
        <v>298.64917997610314</v>
      </c>
    </row>
    <row r="9" spans="1:13" x14ac:dyDescent="0.25">
      <c r="A9" s="1">
        <v>8</v>
      </c>
      <c r="B9" s="1">
        <v>2</v>
      </c>
      <c r="C9" s="3" t="s">
        <v>37</v>
      </c>
      <c r="D9" s="5" t="s">
        <v>36</v>
      </c>
      <c r="E9" s="10">
        <v>12.5</v>
      </c>
      <c r="F9" s="10">
        <v>22.3</v>
      </c>
      <c r="G9" s="10">
        <v>18.7</v>
      </c>
      <c r="H9" s="10">
        <v>4.5</v>
      </c>
      <c r="I9" s="8">
        <f t="shared" si="0"/>
        <v>15.904349999999999</v>
      </c>
      <c r="K9" s="8">
        <f t="shared" si="3"/>
        <v>64.64477436201777</v>
      </c>
      <c r="L9" s="8">
        <f t="shared" si="2"/>
        <v>32.322387181008885</v>
      </c>
    </row>
    <row r="10" spans="1:13" x14ac:dyDescent="0.25">
      <c r="A10" s="1">
        <v>9</v>
      </c>
      <c r="B10" s="1">
        <v>3</v>
      </c>
      <c r="C10" s="3" t="s">
        <v>37</v>
      </c>
      <c r="D10" s="5" t="s">
        <v>36</v>
      </c>
      <c r="E10" s="10">
        <v>15.2</v>
      </c>
      <c r="F10" s="10">
        <v>25.1</v>
      </c>
      <c r="G10" s="10">
        <v>20.399999999999999</v>
      </c>
      <c r="H10" s="10">
        <v>5.2</v>
      </c>
      <c r="I10" s="8">
        <f t="shared" si="0"/>
        <v>21.237216</v>
      </c>
      <c r="K10" s="8">
        <f t="shared" si="3"/>
        <v>92.445816697085263</v>
      </c>
      <c r="L10" s="8">
        <f t="shared" si="2"/>
        <v>46.222908348542632</v>
      </c>
    </row>
    <row r="11" spans="1:13" x14ac:dyDescent="0.25">
      <c r="A11" s="1">
        <v>10</v>
      </c>
      <c r="B11" s="1">
        <v>4</v>
      </c>
      <c r="C11" s="3" t="s">
        <v>37</v>
      </c>
      <c r="D11" s="5" t="s">
        <v>36</v>
      </c>
      <c r="E11" s="10">
        <v>10.8</v>
      </c>
      <c r="F11" s="10">
        <v>19.5</v>
      </c>
      <c r="G11" s="10">
        <v>16.3</v>
      </c>
      <c r="H11" s="10">
        <v>3.8</v>
      </c>
      <c r="I11" s="8">
        <f t="shared" si="0"/>
        <v>11.341175999999999</v>
      </c>
      <c r="K11" s="8">
        <f t="shared" si="3"/>
        <v>43.275231832769876</v>
      </c>
      <c r="L11" s="8">
        <f t="shared" si="2"/>
        <v>21.637615916384938</v>
      </c>
    </row>
    <row r="12" spans="1:13" x14ac:dyDescent="0.25">
      <c r="A12" s="1">
        <v>11</v>
      </c>
      <c r="B12" s="1">
        <v>5</v>
      </c>
      <c r="C12" s="3" t="s">
        <v>37</v>
      </c>
      <c r="D12" s="5" t="s">
        <v>36</v>
      </c>
      <c r="E12" s="10">
        <v>18</v>
      </c>
      <c r="F12" s="10">
        <v>28.7</v>
      </c>
      <c r="G12" s="10">
        <v>22.1</v>
      </c>
      <c r="H12" s="10">
        <v>5.9</v>
      </c>
      <c r="I12" s="8">
        <f t="shared" si="0"/>
        <v>27.339774000000002</v>
      </c>
      <c r="K12" s="8">
        <f t="shared" si="3"/>
        <v>127.59547133404212</v>
      </c>
      <c r="L12" s="8">
        <f t="shared" si="2"/>
        <v>63.797735667021058</v>
      </c>
    </row>
    <row r="13" spans="1:13" x14ac:dyDescent="0.25">
      <c r="A13" s="1">
        <v>12</v>
      </c>
      <c r="B13" s="1">
        <v>6</v>
      </c>
      <c r="C13" s="3" t="s">
        <v>37</v>
      </c>
      <c r="D13" s="5" t="s">
        <v>36</v>
      </c>
      <c r="E13" s="10">
        <v>14.3</v>
      </c>
      <c r="F13" s="10">
        <v>24</v>
      </c>
      <c r="G13" s="10">
        <v>19.8</v>
      </c>
      <c r="H13" s="10">
        <v>4.9000000000000004</v>
      </c>
      <c r="I13" s="8">
        <f t="shared" si="0"/>
        <v>18.857454000000004</v>
      </c>
      <c r="K13" s="8">
        <f t="shared" si="3"/>
        <v>82.208249767937446</v>
      </c>
      <c r="L13" s="8">
        <f t="shared" si="2"/>
        <v>41.104124883968723</v>
      </c>
    </row>
    <row r="14" spans="1:13" x14ac:dyDescent="0.25">
      <c r="A14" s="1">
        <v>13</v>
      </c>
      <c r="B14" s="1">
        <v>7</v>
      </c>
      <c r="C14" s="3" t="s">
        <v>37</v>
      </c>
      <c r="D14" s="5" t="s">
        <v>36</v>
      </c>
      <c r="E14" s="10">
        <v>11.6</v>
      </c>
      <c r="F14" s="10">
        <v>21.2</v>
      </c>
      <c r="G14" s="10">
        <v>17.5</v>
      </c>
      <c r="H14" s="10">
        <v>4.2</v>
      </c>
      <c r="I14" s="8">
        <f t="shared" si="0"/>
        <v>13.854456000000001</v>
      </c>
      <c r="K14" s="8">
        <f t="shared" si="3"/>
        <v>53.001603324090595</v>
      </c>
      <c r="L14" s="8">
        <f t="shared" si="2"/>
        <v>26.500801662045298</v>
      </c>
    </row>
    <row r="15" spans="1:13" x14ac:dyDescent="0.25">
      <c r="A15" s="1">
        <v>14</v>
      </c>
      <c r="B15" s="1">
        <v>8</v>
      </c>
      <c r="C15" s="3" t="s">
        <v>37</v>
      </c>
      <c r="D15" s="5" t="s">
        <v>36</v>
      </c>
      <c r="E15" s="10">
        <v>16.7</v>
      </c>
      <c r="F15" s="10">
        <v>26.3</v>
      </c>
      <c r="G15" s="10">
        <v>21</v>
      </c>
      <c r="H15" s="10">
        <v>5.5</v>
      </c>
      <c r="I15" s="8">
        <f t="shared" si="0"/>
        <v>23.75835</v>
      </c>
      <c r="K15" s="8">
        <f t="shared" si="3"/>
        <v>107.2447249843954</v>
      </c>
      <c r="L15" s="8">
        <f t="shared" si="2"/>
        <v>53.622362492197702</v>
      </c>
    </row>
    <row r="16" spans="1:13" x14ac:dyDescent="0.25">
      <c r="A16" s="1">
        <v>15</v>
      </c>
      <c r="B16" s="1">
        <v>9</v>
      </c>
      <c r="C16" s="3" t="s">
        <v>37</v>
      </c>
      <c r="D16" s="5" t="s">
        <v>36</v>
      </c>
      <c r="E16" s="10">
        <v>13.9</v>
      </c>
      <c r="F16" s="10">
        <v>23.4</v>
      </c>
      <c r="G16" s="10">
        <v>19.100000000000001</v>
      </c>
      <c r="H16" s="10">
        <v>4.7</v>
      </c>
      <c r="I16" s="8">
        <f t="shared" si="0"/>
        <v>17.349486000000002</v>
      </c>
      <c r="K16" s="8">
        <f t="shared" si="3"/>
        <v>74.59463369904941</v>
      </c>
      <c r="L16" s="8">
        <f t="shared" si="2"/>
        <v>37.297316849524705</v>
      </c>
    </row>
    <row r="17" spans="1:13" x14ac:dyDescent="0.25">
      <c r="A17" s="1">
        <v>16</v>
      </c>
      <c r="B17" s="1">
        <v>10</v>
      </c>
      <c r="C17" s="3" t="s">
        <v>37</v>
      </c>
      <c r="D17" s="5" t="s">
        <v>36</v>
      </c>
      <c r="E17" s="10">
        <v>17.5</v>
      </c>
      <c r="F17" s="10">
        <v>27.5</v>
      </c>
      <c r="G17" s="10">
        <v>21.8</v>
      </c>
      <c r="H17" s="10">
        <v>5.8</v>
      </c>
      <c r="I17" s="8">
        <f t="shared" si="0"/>
        <v>26.420856000000001</v>
      </c>
      <c r="K17" s="8">
        <f t="shared" si="3"/>
        <v>120.82015873830174</v>
      </c>
      <c r="L17" s="8">
        <f t="shared" si="2"/>
        <v>60.410079369150871</v>
      </c>
    </row>
    <row r="18" spans="1:13" x14ac:dyDescent="0.25">
      <c r="A18" s="1">
        <v>17</v>
      </c>
      <c r="B18" s="1">
        <v>11</v>
      </c>
      <c r="C18" s="3" t="s">
        <v>37</v>
      </c>
      <c r="D18" s="5" t="s">
        <v>36</v>
      </c>
      <c r="E18" s="10">
        <v>12</v>
      </c>
      <c r="F18" s="10">
        <v>20.8</v>
      </c>
      <c r="G18" s="10">
        <v>17</v>
      </c>
      <c r="H18" s="10">
        <v>4</v>
      </c>
      <c r="I18" s="8">
        <f t="shared" si="0"/>
        <v>12.5664</v>
      </c>
      <c r="K18" s="8">
        <f t="shared" si="3"/>
        <v>51.799173420125491</v>
      </c>
      <c r="L18" s="8">
        <f t="shared" si="2"/>
        <v>25.899586710062746</v>
      </c>
    </row>
    <row r="19" spans="1:13" x14ac:dyDescent="0.25">
      <c r="A19" s="1">
        <v>18</v>
      </c>
      <c r="B19" s="1">
        <v>12</v>
      </c>
      <c r="C19" s="3" t="s">
        <v>37</v>
      </c>
      <c r="D19" s="5" t="s">
        <v>36</v>
      </c>
      <c r="E19" s="10">
        <v>19.2</v>
      </c>
      <c r="F19" s="10">
        <v>30</v>
      </c>
      <c r="G19" s="10">
        <v>23.5</v>
      </c>
      <c r="H19" s="10">
        <v>6.2</v>
      </c>
      <c r="I19" s="8">
        <f t="shared" si="0"/>
        <v>30.190776000000003</v>
      </c>
      <c r="K19" s="8">
        <f t="shared" si="3"/>
        <v>153.49740886712522</v>
      </c>
      <c r="L19" s="8">
        <f t="shared" si="2"/>
        <v>76.748704433562608</v>
      </c>
      <c r="M19">
        <f>SUM(L8:L19)</f>
        <v>784.21280348957316</v>
      </c>
    </row>
    <row r="20" spans="1:13" x14ac:dyDescent="0.25">
      <c r="A20" s="1">
        <v>19</v>
      </c>
      <c r="B20" s="1">
        <v>1</v>
      </c>
      <c r="C20" s="3" t="s">
        <v>58</v>
      </c>
      <c r="D20" s="4" t="s">
        <v>41</v>
      </c>
      <c r="E20" s="10">
        <v>3.5</v>
      </c>
      <c r="F20" s="10">
        <v>12</v>
      </c>
      <c r="G20" s="10">
        <v>8.5</v>
      </c>
      <c r="H20" s="10">
        <v>3</v>
      </c>
      <c r="I20" s="8">
        <f t="shared" si="0"/>
        <v>7.0686</v>
      </c>
      <c r="K20" s="8">
        <f>EXP(-1.716)*G20^2.413</f>
        <v>31.436814816356993</v>
      </c>
      <c r="L20" s="8">
        <f t="shared" si="2"/>
        <v>15.718407408178496</v>
      </c>
    </row>
    <row r="21" spans="1:13" x14ac:dyDescent="0.25">
      <c r="A21" s="1">
        <v>20</v>
      </c>
      <c r="B21" s="1">
        <v>2</v>
      </c>
      <c r="C21" s="3" t="s">
        <v>58</v>
      </c>
      <c r="D21" s="4" t="s">
        <v>41</v>
      </c>
      <c r="E21" s="10">
        <v>6.2</v>
      </c>
      <c r="F21" s="10">
        <v>18</v>
      </c>
      <c r="G21" s="10">
        <v>12</v>
      </c>
      <c r="H21" s="10">
        <v>4.5</v>
      </c>
      <c r="I21" s="8">
        <f t="shared" si="0"/>
        <v>15.904349999999999</v>
      </c>
      <c r="K21" s="8">
        <f>EXP(-1.716)*G21^2.413</f>
        <v>72.24620111871694</v>
      </c>
      <c r="L21" s="8">
        <f t="shared" si="2"/>
        <v>36.12310055935847</v>
      </c>
    </row>
    <row r="22" spans="1:13" x14ac:dyDescent="0.25">
      <c r="A22" s="1">
        <v>21</v>
      </c>
      <c r="B22" s="1">
        <v>3</v>
      </c>
      <c r="C22" s="3" t="s">
        <v>58</v>
      </c>
      <c r="D22" s="4" t="s">
        <v>41</v>
      </c>
      <c r="E22" s="10">
        <v>9</v>
      </c>
      <c r="F22" s="10">
        <v>25</v>
      </c>
      <c r="G22" s="10">
        <v>20</v>
      </c>
      <c r="H22" s="10">
        <v>6.2</v>
      </c>
      <c r="I22" s="8">
        <f t="shared" si="0"/>
        <v>30.190776000000003</v>
      </c>
      <c r="K22" s="8">
        <f>EXP(-1.716)*G22^2.413</f>
        <v>247.81982650064245</v>
      </c>
      <c r="L22" s="8">
        <f t="shared" si="2"/>
        <v>123.90991325032122</v>
      </c>
      <c r="M22" s="7">
        <f>SUM(L20:L22)</f>
        <v>175.75142121785819</v>
      </c>
    </row>
    <row r="23" spans="1:13" x14ac:dyDescent="0.25">
      <c r="A23" s="1">
        <v>22</v>
      </c>
      <c r="B23" s="1">
        <v>1</v>
      </c>
      <c r="C23" s="3" t="s">
        <v>12</v>
      </c>
      <c r="D23" s="5" t="s">
        <v>33</v>
      </c>
      <c r="E23" s="10">
        <v>1.2</v>
      </c>
      <c r="F23" s="10">
        <v>4.5</v>
      </c>
      <c r="G23" s="10">
        <v>3.2</v>
      </c>
      <c r="H23" s="10">
        <v>1.5</v>
      </c>
      <c r="I23" s="8">
        <f t="shared" si="0"/>
        <v>1.76715</v>
      </c>
      <c r="K23" s="8">
        <f t="shared" ref="K23:K54" si="4">0.202*(F23^2.112)</f>
        <v>4.8410124387379607</v>
      </c>
      <c r="L23" s="8">
        <f t="shared" si="2"/>
        <v>2.4205062193689804</v>
      </c>
    </row>
    <row r="24" spans="1:13" x14ac:dyDescent="0.25">
      <c r="A24" s="1">
        <v>23</v>
      </c>
      <c r="B24" s="1">
        <v>2</v>
      </c>
      <c r="C24" s="3" t="s">
        <v>12</v>
      </c>
      <c r="D24" s="5" t="s">
        <v>33</v>
      </c>
      <c r="E24" s="10">
        <v>1.2</v>
      </c>
      <c r="F24" s="10">
        <v>4.5</v>
      </c>
      <c r="G24" s="10">
        <v>3.2</v>
      </c>
      <c r="H24" s="10">
        <v>1.5</v>
      </c>
      <c r="I24" s="8">
        <f t="shared" si="0"/>
        <v>1.76715</v>
      </c>
      <c r="K24" s="8">
        <f t="shared" si="4"/>
        <v>4.8410124387379607</v>
      </c>
      <c r="L24" s="8">
        <f t="shared" si="2"/>
        <v>2.4205062193689804</v>
      </c>
    </row>
    <row r="25" spans="1:13" x14ac:dyDescent="0.25">
      <c r="A25" s="1">
        <v>24</v>
      </c>
      <c r="B25" s="1">
        <v>3</v>
      </c>
      <c r="C25" s="3" t="s">
        <v>12</v>
      </c>
      <c r="D25" s="5" t="s">
        <v>33</v>
      </c>
      <c r="E25" s="10">
        <v>1.2</v>
      </c>
      <c r="F25" s="10">
        <v>4.5</v>
      </c>
      <c r="G25" s="10">
        <v>3.2</v>
      </c>
      <c r="H25" s="10">
        <v>1.5</v>
      </c>
      <c r="I25" s="8">
        <f t="shared" si="0"/>
        <v>1.76715</v>
      </c>
      <c r="K25" s="8">
        <f t="shared" si="4"/>
        <v>4.8410124387379607</v>
      </c>
      <c r="L25" s="8">
        <f t="shared" si="2"/>
        <v>2.4205062193689804</v>
      </c>
    </row>
    <row r="26" spans="1:13" x14ac:dyDescent="0.25">
      <c r="A26" s="1">
        <v>25</v>
      </c>
      <c r="B26" s="1">
        <v>4</v>
      </c>
      <c r="C26" s="3" t="s">
        <v>12</v>
      </c>
      <c r="D26" s="5" t="s">
        <v>33</v>
      </c>
      <c r="E26" s="10">
        <v>1.2</v>
      </c>
      <c r="F26" s="10">
        <v>4.5</v>
      </c>
      <c r="G26" s="10">
        <v>3.2</v>
      </c>
      <c r="H26" s="10">
        <v>1.5</v>
      </c>
      <c r="I26" s="8">
        <f t="shared" si="0"/>
        <v>1.76715</v>
      </c>
      <c r="K26" s="8">
        <f t="shared" si="4"/>
        <v>4.8410124387379607</v>
      </c>
      <c r="L26" s="8">
        <f t="shared" si="2"/>
        <v>2.4205062193689804</v>
      </c>
    </row>
    <row r="27" spans="1:13" x14ac:dyDescent="0.25">
      <c r="A27" s="1">
        <v>26</v>
      </c>
      <c r="B27" s="1">
        <v>5</v>
      </c>
      <c r="C27" s="3" t="s">
        <v>12</v>
      </c>
      <c r="D27" s="5" t="s">
        <v>33</v>
      </c>
      <c r="E27" s="10">
        <v>1.2</v>
      </c>
      <c r="F27" s="10">
        <v>4.5</v>
      </c>
      <c r="G27" s="10">
        <v>3.2</v>
      </c>
      <c r="H27" s="10">
        <v>1.5</v>
      </c>
      <c r="I27" s="8">
        <f t="shared" si="0"/>
        <v>1.76715</v>
      </c>
      <c r="K27" s="8">
        <f t="shared" si="4"/>
        <v>4.8410124387379607</v>
      </c>
      <c r="L27" s="8">
        <f t="shared" si="2"/>
        <v>2.4205062193689804</v>
      </c>
    </row>
    <row r="28" spans="1:13" x14ac:dyDescent="0.25">
      <c r="A28" s="1">
        <v>27</v>
      </c>
      <c r="B28" s="1">
        <v>6</v>
      </c>
      <c r="C28" s="3" t="s">
        <v>12</v>
      </c>
      <c r="D28" s="5" t="s">
        <v>33</v>
      </c>
      <c r="E28" s="10">
        <v>1.2</v>
      </c>
      <c r="F28" s="10">
        <v>4.5</v>
      </c>
      <c r="G28" s="10">
        <v>3.2</v>
      </c>
      <c r="H28" s="10">
        <v>1.5</v>
      </c>
      <c r="I28" s="8">
        <f t="shared" si="0"/>
        <v>1.76715</v>
      </c>
      <c r="K28" s="8">
        <f t="shared" si="4"/>
        <v>4.8410124387379607</v>
      </c>
      <c r="L28" s="8">
        <f t="shared" si="2"/>
        <v>2.4205062193689804</v>
      </c>
    </row>
    <row r="29" spans="1:13" x14ac:dyDescent="0.25">
      <c r="A29" s="1">
        <v>28</v>
      </c>
      <c r="B29" s="1">
        <v>7</v>
      </c>
      <c r="C29" s="3" t="s">
        <v>12</v>
      </c>
      <c r="D29" s="5" t="s">
        <v>33</v>
      </c>
      <c r="E29" s="10">
        <v>1.2</v>
      </c>
      <c r="F29" s="10">
        <v>4.5</v>
      </c>
      <c r="G29" s="10">
        <v>3.2</v>
      </c>
      <c r="H29" s="10">
        <v>1.5</v>
      </c>
      <c r="I29" s="8">
        <f t="shared" si="0"/>
        <v>1.76715</v>
      </c>
      <c r="K29" s="8">
        <f t="shared" si="4"/>
        <v>4.8410124387379607</v>
      </c>
      <c r="L29" s="8">
        <f t="shared" si="2"/>
        <v>2.4205062193689804</v>
      </c>
    </row>
    <row r="30" spans="1:13" x14ac:dyDescent="0.25">
      <c r="A30" s="1">
        <v>29</v>
      </c>
      <c r="B30" s="1">
        <v>8</v>
      </c>
      <c r="C30" s="3" t="s">
        <v>12</v>
      </c>
      <c r="D30" s="5" t="s">
        <v>33</v>
      </c>
      <c r="E30" s="10">
        <v>1.2</v>
      </c>
      <c r="F30" s="10">
        <v>4.5</v>
      </c>
      <c r="G30" s="10">
        <v>3.2</v>
      </c>
      <c r="H30" s="10">
        <v>1.5</v>
      </c>
      <c r="I30" s="8">
        <f t="shared" si="0"/>
        <v>1.76715</v>
      </c>
      <c r="K30" s="8">
        <f t="shared" si="4"/>
        <v>4.8410124387379607</v>
      </c>
      <c r="L30" s="8">
        <f t="shared" si="2"/>
        <v>2.4205062193689804</v>
      </c>
    </row>
    <row r="31" spans="1:13" x14ac:dyDescent="0.25">
      <c r="A31" s="1">
        <v>30</v>
      </c>
      <c r="B31" s="1">
        <v>9</v>
      </c>
      <c r="C31" s="3" t="s">
        <v>12</v>
      </c>
      <c r="D31" s="5" t="s">
        <v>33</v>
      </c>
      <c r="E31" s="10">
        <v>1.2</v>
      </c>
      <c r="F31" s="10">
        <v>4.5</v>
      </c>
      <c r="G31" s="10">
        <v>3.2</v>
      </c>
      <c r="H31" s="10">
        <v>1.5</v>
      </c>
      <c r="I31" s="8">
        <f t="shared" si="0"/>
        <v>1.76715</v>
      </c>
      <c r="K31" s="8">
        <f t="shared" si="4"/>
        <v>4.8410124387379607</v>
      </c>
      <c r="L31" s="8">
        <f t="shared" si="2"/>
        <v>2.4205062193689804</v>
      </c>
    </row>
    <row r="32" spans="1:13" x14ac:dyDescent="0.25">
      <c r="A32" s="1">
        <v>31</v>
      </c>
      <c r="B32" s="1">
        <v>10</v>
      </c>
      <c r="C32" s="3" t="s">
        <v>12</v>
      </c>
      <c r="D32" s="5" t="s">
        <v>33</v>
      </c>
      <c r="E32" s="10">
        <v>1.2</v>
      </c>
      <c r="F32" s="10">
        <v>4.5</v>
      </c>
      <c r="G32" s="10">
        <v>3.2</v>
      </c>
      <c r="H32" s="10">
        <v>1.5</v>
      </c>
      <c r="I32" s="8">
        <f t="shared" si="0"/>
        <v>1.76715</v>
      </c>
      <c r="K32" s="8">
        <f t="shared" si="4"/>
        <v>4.8410124387379607</v>
      </c>
      <c r="L32" s="8">
        <f t="shared" si="2"/>
        <v>2.4205062193689804</v>
      </c>
    </row>
    <row r="33" spans="1:12" x14ac:dyDescent="0.25">
      <c r="A33" s="1">
        <v>32</v>
      </c>
      <c r="B33" s="1">
        <v>11</v>
      </c>
      <c r="C33" s="3" t="s">
        <v>12</v>
      </c>
      <c r="D33" s="5" t="s">
        <v>33</v>
      </c>
      <c r="E33" s="10">
        <v>1.7</v>
      </c>
      <c r="F33" s="10">
        <v>5.3</v>
      </c>
      <c r="G33" s="10">
        <v>4</v>
      </c>
      <c r="H33" s="10">
        <v>1.9</v>
      </c>
      <c r="I33" s="8">
        <f t="shared" si="0"/>
        <v>2.8352939999999998</v>
      </c>
      <c r="K33" s="8">
        <f t="shared" si="4"/>
        <v>6.8394630250130808</v>
      </c>
      <c r="L33" s="8">
        <f t="shared" si="2"/>
        <v>3.4197315125065404</v>
      </c>
    </row>
    <row r="34" spans="1:12" x14ac:dyDescent="0.25">
      <c r="A34" s="1">
        <v>33</v>
      </c>
      <c r="B34" s="1">
        <v>12</v>
      </c>
      <c r="C34" s="3" t="s">
        <v>12</v>
      </c>
      <c r="D34" s="5" t="s">
        <v>33</v>
      </c>
      <c r="E34" s="10">
        <v>1.7</v>
      </c>
      <c r="F34" s="10">
        <v>5.3</v>
      </c>
      <c r="G34" s="10">
        <v>4</v>
      </c>
      <c r="H34" s="10">
        <v>1.9</v>
      </c>
      <c r="I34" s="8">
        <f t="shared" si="0"/>
        <v>2.8352939999999998</v>
      </c>
      <c r="K34" s="8">
        <f t="shared" si="4"/>
        <v>6.8394630250130808</v>
      </c>
      <c r="L34" s="8">
        <f t="shared" si="2"/>
        <v>3.4197315125065404</v>
      </c>
    </row>
    <row r="35" spans="1:12" x14ac:dyDescent="0.25">
      <c r="A35" s="1">
        <v>34</v>
      </c>
      <c r="B35" s="1">
        <v>13</v>
      </c>
      <c r="C35" s="3" t="s">
        <v>12</v>
      </c>
      <c r="D35" s="5" t="s">
        <v>33</v>
      </c>
      <c r="E35" s="10">
        <v>1.7</v>
      </c>
      <c r="F35" s="10">
        <v>5.3</v>
      </c>
      <c r="G35" s="10">
        <v>4</v>
      </c>
      <c r="H35" s="10">
        <v>1.9</v>
      </c>
      <c r="I35" s="8">
        <f t="shared" si="0"/>
        <v>2.8352939999999998</v>
      </c>
      <c r="K35" s="8">
        <f t="shared" si="4"/>
        <v>6.8394630250130808</v>
      </c>
      <c r="L35" s="8">
        <f t="shared" si="2"/>
        <v>3.4197315125065404</v>
      </c>
    </row>
    <row r="36" spans="1:12" x14ac:dyDescent="0.25">
      <c r="A36" s="1">
        <v>35</v>
      </c>
      <c r="B36" s="1">
        <v>14</v>
      </c>
      <c r="C36" s="3" t="s">
        <v>12</v>
      </c>
      <c r="D36" s="5" t="s">
        <v>33</v>
      </c>
      <c r="E36" s="10">
        <v>1.7</v>
      </c>
      <c r="F36" s="10">
        <v>5.3</v>
      </c>
      <c r="G36" s="10">
        <v>4</v>
      </c>
      <c r="H36" s="10">
        <v>1.9</v>
      </c>
      <c r="I36" s="8">
        <f t="shared" si="0"/>
        <v>2.8352939999999998</v>
      </c>
      <c r="K36" s="8">
        <f t="shared" si="4"/>
        <v>6.8394630250130808</v>
      </c>
      <c r="L36" s="8">
        <f t="shared" si="2"/>
        <v>3.4197315125065404</v>
      </c>
    </row>
    <row r="37" spans="1:12" x14ac:dyDescent="0.25">
      <c r="A37" s="1">
        <v>36</v>
      </c>
      <c r="B37" s="1">
        <v>15</v>
      </c>
      <c r="C37" s="3" t="s">
        <v>12</v>
      </c>
      <c r="D37" s="5" t="s">
        <v>33</v>
      </c>
      <c r="E37" s="10">
        <v>1.7</v>
      </c>
      <c r="F37" s="10">
        <v>5.3</v>
      </c>
      <c r="G37" s="10">
        <v>4</v>
      </c>
      <c r="H37" s="10">
        <v>1.9</v>
      </c>
      <c r="I37" s="8">
        <f t="shared" si="0"/>
        <v>2.8352939999999998</v>
      </c>
      <c r="K37" s="8">
        <f t="shared" si="4"/>
        <v>6.8394630250130808</v>
      </c>
      <c r="L37" s="8">
        <f t="shared" si="2"/>
        <v>3.4197315125065404</v>
      </c>
    </row>
    <row r="38" spans="1:12" x14ac:dyDescent="0.25">
      <c r="A38" s="1">
        <v>37</v>
      </c>
      <c r="B38" s="1">
        <v>16</v>
      </c>
      <c r="C38" s="3" t="s">
        <v>12</v>
      </c>
      <c r="D38" s="5" t="s">
        <v>33</v>
      </c>
      <c r="E38" s="10">
        <v>1.7</v>
      </c>
      <c r="F38" s="10">
        <v>5.3</v>
      </c>
      <c r="G38" s="10">
        <v>4</v>
      </c>
      <c r="H38" s="10">
        <v>1.9</v>
      </c>
      <c r="I38" s="8">
        <f t="shared" si="0"/>
        <v>2.8352939999999998</v>
      </c>
      <c r="K38" s="8">
        <f t="shared" si="4"/>
        <v>6.8394630250130808</v>
      </c>
      <c r="L38" s="8">
        <f t="shared" si="2"/>
        <v>3.4197315125065404</v>
      </c>
    </row>
    <row r="39" spans="1:12" x14ac:dyDescent="0.25">
      <c r="A39" s="1">
        <v>38</v>
      </c>
      <c r="B39" s="1">
        <v>17</v>
      </c>
      <c r="C39" s="3" t="s">
        <v>12</v>
      </c>
      <c r="D39" s="5" t="s">
        <v>33</v>
      </c>
      <c r="E39" s="10">
        <v>1.7</v>
      </c>
      <c r="F39" s="10">
        <v>5.3</v>
      </c>
      <c r="G39" s="10">
        <v>4</v>
      </c>
      <c r="H39" s="10">
        <v>1.9</v>
      </c>
      <c r="I39" s="8">
        <f t="shared" si="0"/>
        <v>2.8352939999999998</v>
      </c>
      <c r="K39" s="8">
        <f t="shared" si="4"/>
        <v>6.8394630250130808</v>
      </c>
      <c r="L39" s="8">
        <f t="shared" si="2"/>
        <v>3.4197315125065404</v>
      </c>
    </row>
    <row r="40" spans="1:12" x14ac:dyDescent="0.25">
      <c r="A40" s="1">
        <v>39</v>
      </c>
      <c r="B40" s="1">
        <v>18</v>
      </c>
      <c r="C40" s="3" t="s">
        <v>12</v>
      </c>
      <c r="D40" s="5" t="s">
        <v>33</v>
      </c>
      <c r="E40" s="10">
        <v>1.7</v>
      </c>
      <c r="F40" s="10">
        <v>5.3</v>
      </c>
      <c r="G40" s="10">
        <v>4</v>
      </c>
      <c r="H40" s="10">
        <v>1.9</v>
      </c>
      <c r="I40" s="8">
        <f t="shared" si="0"/>
        <v>2.8352939999999998</v>
      </c>
      <c r="K40" s="8">
        <f t="shared" si="4"/>
        <v>6.8394630250130808</v>
      </c>
      <c r="L40" s="8">
        <f t="shared" si="2"/>
        <v>3.4197315125065404</v>
      </c>
    </row>
    <row r="41" spans="1:12" x14ac:dyDescent="0.25">
      <c r="A41" s="1">
        <v>40</v>
      </c>
      <c r="B41" s="1">
        <v>19</v>
      </c>
      <c r="C41" s="3" t="s">
        <v>12</v>
      </c>
      <c r="D41" s="5" t="s">
        <v>33</v>
      </c>
      <c r="E41" s="10">
        <v>1.7</v>
      </c>
      <c r="F41" s="10">
        <v>5.3</v>
      </c>
      <c r="G41" s="10">
        <v>4</v>
      </c>
      <c r="H41" s="10">
        <v>1.9</v>
      </c>
      <c r="I41" s="8">
        <f t="shared" si="0"/>
        <v>2.8352939999999998</v>
      </c>
      <c r="K41" s="8">
        <f t="shared" si="4"/>
        <v>6.8394630250130808</v>
      </c>
      <c r="L41" s="8">
        <f t="shared" si="2"/>
        <v>3.4197315125065404</v>
      </c>
    </row>
    <row r="42" spans="1:12" x14ac:dyDescent="0.25">
      <c r="A42" s="1">
        <v>41</v>
      </c>
      <c r="B42" s="1">
        <v>20</v>
      </c>
      <c r="C42" s="3" t="s">
        <v>12</v>
      </c>
      <c r="D42" s="5" t="s">
        <v>33</v>
      </c>
      <c r="E42" s="10">
        <v>1.7</v>
      </c>
      <c r="F42" s="10">
        <v>5.3</v>
      </c>
      <c r="G42" s="10">
        <v>4</v>
      </c>
      <c r="H42" s="10">
        <v>1.9</v>
      </c>
      <c r="I42" s="8">
        <f t="shared" si="0"/>
        <v>2.8352939999999998</v>
      </c>
      <c r="K42" s="8">
        <f t="shared" si="4"/>
        <v>6.8394630250130808</v>
      </c>
      <c r="L42" s="8">
        <f t="shared" si="2"/>
        <v>3.4197315125065404</v>
      </c>
    </row>
    <row r="43" spans="1:12" x14ac:dyDescent="0.25">
      <c r="A43" s="1">
        <v>42</v>
      </c>
      <c r="B43" s="1">
        <v>21</v>
      </c>
      <c r="C43" s="3" t="s">
        <v>12</v>
      </c>
      <c r="D43" s="5" t="s">
        <v>33</v>
      </c>
      <c r="E43" s="10">
        <v>1.7</v>
      </c>
      <c r="F43" s="10">
        <v>5.3</v>
      </c>
      <c r="G43" s="10">
        <v>4</v>
      </c>
      <c r="H43" s="10">
        <v>1.9</v>
      </c>
      <c r="I43" s="8">
        <f t="shared" si="0"/>
        <v>2.8352939999999998</v>
      </c>
      <c r="K43" s="8">
        <f t="shared" si="4"/>
        <v>6.8394630250130808</v>
      </c>
      <c r="L43" s="8">
        <f t="shared" si="2"/>
        <v>3.4197315125065404</v>
      </c>
    </row>
    <row r="44" spans="1:12" x14ac:dyDescent="0.25">
      <c r="A44" s="1">
        <v>43</v>
      </c>
      <c r="B44" s="1">
        <v>22</v>
      </c>
      <c r="C44" s="3" t="s">
        <v>12</v>
      </c>
      <c r="D44" s="5" t="s">
        <v>33</v>
      </c>
      <c r="E44" s="10">
        <v>1.7</v>
      </c>
      <c r="F44" s="10">
        <v>5.3</v>
      </c>
      <c r="G44" s="10">
        <v>4</v>
      </c>
      <c r="H44" s="10">
        <v>1.9</v>
      </c>
      <c r="I44" s="8">
        <f t="shared" si="0"/>
        <v>2.8352939999999998</v>
      </c>
      <c r="K44" s="8">
        <f t="shared" si="4"/>
        <v>6.8394630250130808</v>
      </c>
      <c r="L44" s="8">
        <f t="shared" si="2"/>
        <v>3.4197315125065404</v>
      </c>
    </row>
    <row r="45" spans="1:12" x14ac:dyDescent="0.25">
      <c r="A45" s="1">
        <v>44</v>
      </c>
      <c r="B45" s="1">
        <v>23</v>
      </c>
      <c r="C45" s="3" t="s">
        <v>12</v>
      </c>
      <c r="D45" s="5" t="s">
        <v>33</v>
      </c>
      <c r="E45" s="10">
        <v>1.7</v>
      </c>
      <c r="F45" s="10">
        <v>5.3</v>
      </c>
      <c r="G45" s="10">
        <v>4</v>
      </c>
      <c r="H45" s="10">
        <v>1.9</v>
      </c>
      <c r="I45" s="8">
        <f t="shared" si="0"/>
        <v>2.8352939999999998</v>
      </c>
      <c r="K45" s="8">
        <f t="shared" si="4"/>
        <v>6.8394630250130808</v>
      </c>
      <c r="L45" s="8">
        <f t="shared" si="2"/>
        <v>3.4197315125065404</v>
      </c>
    </row>
    <row r="46" spans="1:12" x14ac:dyDescent="0.25">
      <c r="A46" s="1">
        <v>45</v>
      </c>
      <c r="B46" s="1">
        <v>24</v>
      </c>
      <c r="C46" s="3" t="s">
        <v>12</v>
      </c>
      <c r="D46" s="5" t="s">
        <v>33</v>
      </c>
      <c r="E46" s="10">
        <v>1.7</v>
      </c>
      <c r="F46" s="10">
        <v>5.3</v>
      </c>
      <c r="G46" s="10">
        <v>4</v>
      </c>
      <c r="H46" s="10">
        <v>1.9</v>
      </c>
      <c r="I46" s="8">
        <f t="shared" si="0"/>
        <v>2.8352939999999998</v>
      </c>
      <c r="K46" s="8">
        <f t="shared" si="4"/>
        <v>6.8394630250130808</v>
      </c>
      <c r="L46" s="8">
        <f t="shared" si="2"/>
        <v>3.4197315125065404</v>
      </c>
    </row>
    <row r="47" spans="1:12" x14ac:dyDescent="0.25">
      <c r="A47" s="1">
        <v>46</v>
      </c>
      <c r="B47" s="1">
        <v>25</v>
      </c>
      <c r="C47" s="3" t="s">
        <v>12</v>
      </c>
      <c r="D47" s="5" t="s">
        <v>33</v>
      </c>
      <c r="E47" s="10">
        <v>1.7</v>
      </c>
      <c r="F47" s="10">
        <v>5.3</v>
      </c>
      <c r="G47" s="10">
        <v>4</v>
      </c>
      <c r="H47" s="10">
        <v>1.9</v>
      </c>
      <c r="I47" s="8">
        <f t="shared" si="0"/>
        <v>2.8352939999999998</v>
      </c>
      <c r="K47" s="8">
        <f t="shared" si="4"/>
        <v>6.8394630250130808</v>
      </c>
      <c r="L47" s="8">
        <f t="shared" si="2"/>
        <v>3.4197315125065404</v>
      </c>
    </row>
    <row r="48" spans="1:12" x14ac:dyDescent="0.25">
      <c r="A48" s="1">
        <v>47</v>
      </c>
      <c r="B48" s="1">
        <v>26</v>
      </c>
      <c r="C48" s="3" t="s">
        <v>12</v>
      </c>
      <c r="D48" s="5" t="s">
        <v>33</v>
      </c>
      <c r="E48" s="10">
        <v>1.7</v>
      </c>
      <c r="F48" s="10">
        <v>5.3</v>
      </c>
      <c r="G48" s="10">
        <v>4</v>
      </c>
      <c r="H48" s="10">
        <v>1.9</v>
      </c>
      <c r="I48" s="8">
        <f t="shared" si="0"/>
        <v>2.8352939999999998</v>
      </c>
      <c r="K48" s="8">
        <f t="shared" si="4"/>
        <v>6.8394630250130808</v>
      </c>
      <c r="L48" s="8">
        <f t="shared" si="2"/>
        <v>3.4197315125065404</v>
      </c>
    </row>
    <row r="49" spans="1:12" x14ac:dyDescent="0.25">
      <c r="A49" s="1">
        <v>48</v>
      </c>
      <c r="B49" s="1">
        <v>27</v>
      </c>
      <c r="C49" s="3" t="s">
        <v>12</v>
      </c>
      <c r="D49" s="5" t="s">
        <v>33</v>
      </c>
      <c r="E49" s="10">
        <v>1.7</v>
      </c>
      <c r="F49" s="10">
        <v>5.3</v>
      </c>
      <c r="G49" s="10">
        <v>4</v>
      </c>
      <c r="H49" s="10">
        <v>1.9</v>
      </c>
      <c r="I49" s="8">
        <f t="shared" si="0"/>
        <v>2.8352939999999998</v>
      </c>
      <c r="K49" s="8">
        <f t="shared" si="4"/>
        <v>6.8394630250130808</v>
      </c>
      <c r="L49" s="8">
        <f t="shared" si="2"/>
        <v>3.4197315125065404</v>
      </c>
    </row>
    <row r="50" spans="1:12" x14ac:dyDescent="0.25">
      <c r="A50" s="1">
        <v>49</v>
      </c>
      <c r="B50" s="1">
        <v>28</v>
      </c>
      <c r="C50" s="3" t="s">
        <v>12</v>
      </c>
      <c r="D50" s="5" t="s">
        <v>33</v>
      </c>
      <c r="E50" s="10">
        <v>1.7</v>
      </c>
      <c r="F50" s="10">
        <v>5.3</v>
      </c>
      <c r="G50" s="10">
        <v>4</v>
      </c>
      <c r="H50" s="10">
        <v>1.9</v>
      </c>
      <c r="I50" s="8">
        <f t="shared" si="0"/>
        <v>2.8352939999999998</v>
      </c>
      <c r="K50" s="8">
        <f t="shared" si="4"/>
        <v>6.8394630250130808</v>
      </c>
      <c r="L50" s="8">
        <f t="shared" si="2"/>
        <v>3.4197315125065404</v>
      </c>
    </row>
    <row r="51" spans="1:12" x14ac:dyDescent="0.25">
      <c r="A51" s="1">
        <v>50</v>
      </c>
      <c r="B51" s="1">
        <v>29</v>
      </c>
      <c r="C51" s="3" t="s">
        <v>12</v>
      </c>
      <c r="D51" s="5" t="s">
        <v>33</v>
      </c>
      <c r="E51" s="10">
        <v>1.7</v>
      </c>
      <c r="F51" s="10">
        <v>5.3</v>
      </c>
      <c r="G51" s="10">
        <v>4</v>
      </c>
      <c r="H51" s="10">
        <v>1.9</v>
      </c>
      <c r="I51" s="8">
        <f t="shared" si="0"/>
        <v>2.8352939999999998</v>
      </c>
      <c r="K51" s="8">
        <f t="shared" si="4"/>
        <v>6.8394630250130808</v>
      </c>
      <c r="L51" s="8">
        <f t="shared" si="2"/>
        <v>3.4197315125065404</v>
      </c>
    </row>
    <row r="52" spans="1:12" x14ac:dyDescent="0.25">
      <c r="A52" s="1">
        <v>51</v>
      </c>
      <c r="B52" s="1">
        <v>30</v>
      </c>
      <c r="C52" s="3" t="s">
        <v>12</v>
      </c>
      <c r="D52" s="5" t="s">
        <v>33</v>
      </c>
      <c r="E52" s="10">
        <v>1.7</v>
      </c>
      <c r="F52" s="10">
        <v>5.3</v>
      </c>
      <c r="G52" s="10">
        <v>4</v>
      </c>
      <c r="H52" s="10">
        <v>1.9</v>
      </c>
      <c r="I52" s="8">
        <f t="shared" si="0"/>
        <v>2.8352939999999998</v>
      </c>
      <c r="K52" s="8">
        <f t="shared" si="4"/>
        <v>6.8394630250130808</v>
      </c>
      <c r="L52" s="8">
        <f t="shared" si="2"/>
        <v>3.4197315125065404</v>
      </c>
    </row>
    <row r="53" spans="1:12" x14ac:dyDescent="0.25">
      <c r="A53" s="1">
        <v>52</v>
      </c>
      <c r="B53" s="1">
        <v>31</v>
      </c>
      <c r="C53" s="3" t="s">
        <v>12</v>
      </c>
      <c r="D53" s="5" t="s">
        <v>33</v>
      </c>
      <c r="E53" s="10">
        <v>3.4</v>
      </c>
      <c r="F53" s="10">
        <v>9</v>
      </c>
      <c r="G53" s="10">
        <v>6.9</v>
      </c>
      <c r="H53" s="10">
        <v>3.6</v>
      </c>
      <c r="I53" s="8">
        <f t="shared" si="0"/>
        <v>10.178784</v>
      </c>
      <c r="K53" s="8">
        <f t="shared" si="4"/>
        <v>20.92722045653035</v>
      </c>
      <c r="L53" s="8">
        <f t="shared" si="2"/>
        <v>10.463610228265175</v>
      </c>
    </row>
    <row r="54" spans="1:12" x14ac:dyDescent="0.25">
      <c r="A54" s="1">
        <v>53</v>
      </c>
      <c r="B54" s="1">
        <v>32</v>
      </c>
      <c r="C54" s="3" t="s">
        <v>12</v>
      </c>
      <c r="D54" s="5" t="s">
        <v>33</v>
      </c>
      <c r="E54" s="10">
        <v>4.5</v>
      </c>
      <c r="F54" s="10">
        <v>13</v>
      </c>
      <c r="G54" s="10">
        <v>9.8000000000000007</v>
      </c>
      <c r="H54" s="10">
        <v>4.8</v>
      </c>
      <c r="I54" s="8">
        <f t="shared" si="0"/>
        <v>18.095616</v>
      </c>
      <c r="K54" s="8">
        <f t="shared" si="4"/>
        <v>45.498777678070901</v>
      </c>
      <c r="L54" s="8">
        <f t="shared" si="2"/>
        <v>22.749388839035451</v>
      </c>
    </row>
    <row r="55" spans="1:12" x14ac:dyDescent="0.25">
      <c r="A55" s="1">
        <v>54</v>
      </c>
      <c r="B55" s="1">
        <v>33</v>
      </c>
      <c r="C55" s="3" t="s">
        <v>12</v>
      </c>
      <c r="D55" s="5" t="s">
        <v>33</v>
      </c>
      <c r="E55" s="10">
        <v>4.8</v>
      </c>
      <c r="F55" s="10">
        <v>14</v>
      </c>
      <c r="G55" s="10">
        <v>10.5</v>
      </c>
      <c r="H55" s="10">
        <v>5</v>
      </c>
      <c r="I55" s="8">
        <f t="shared" si="0"/>
        <v>19.634999999999998</v>
      </c>
      <c r="K55" s="8">
        <f t="shared" ref="K55:K82" si="5">0.202*(F55^2.112)</f>
        <v>53.20761358279254</v>
      </c>
      <c r="L55" s="8">
        <f t="shared" si="2"/>
        <v>26.60380679139627</v>
      </c>
    </row>
    <row r="56" spans="1:12" x14ac:dyDescent="0.25">
      <c r="A56" s="1">
        <v>55</v>
      </c>
      <c r="B56" s="1">
        <v>34</v>
      </c>
      <c r="C56" s="3" t="s">
        <v>12</v>
      </c>
      <c r="D56" s="5" t="s">
        <v>33</v>
      </c>
      <c r="E56" s="10">
        <v>5</v>
      </c>
      <c r="F56" s="10">
        <v>14.5</v>
      </c>
      <c r="G56" s="10">
        <v>11</v>
      </c>
      <c r="H56" s="10">
        <v>5.2</v>
      </c>
      <c r="I56" s="8">
        <f t="shared" si="0"/>
        <v>21.237216</v>
      </c>
      <c r="K56" s="8">
        <f t="shared" si="5"/>
        <v>57.300787438467317</v>
      </c>
      <c r="L56" s="8">
        <f t="shared" si="2"/>
        <v>28.650393719233659</v>
      </c>
    </row>
    <row r="57" spans="1:12" x14ac:dyDescent="0.25">
      <c r="A57" s="1">
        <v>56</v>
      </c>
      <c r="B57" s="1">
        <v>35</v>
      </c>
      <c r="C57" s="3" t="s">
        <v>12</v>
      </c>
      <c r="D57" s="5" t="s">
        <v>33</v>
      </c>
      <c r="E57" s="10">
        <v>5.2</v>
      </c>
      <c r="F57" s="10">
        <v>15</v>
      </c>
      <c r="G57" s="10">
        <v>11.5</v>
      </c>
      <c r="H57" s="10">
        <v>5.3</v>
      </c>
      <c r="I57" s="8">
        <f t="shared" si="0"/>
        <v>22.061886000000001</v>
      </c>
      <c r="K57" s="8">
        <f t="shared" si="5"/>
        <v>61.553975674683002</v>
      </c>
      <c r="L57" s="8">
        <f t="shared" si="2"/>
        <v>30.776987837341501</v>
      </c>
    </row>
    <row r="58" spans="1:12" x14ac:dyDescent="0.25">
      <c r="A58" s="1">
        <v>57</v>
      </c>
      <c r="B58" s="1">
        <v>36</v>
      </c>
      <c r="C58" s="3" t="s">
        <v>12</v>
      </c>
      <c r="D58" s="5" t="s">
        <v>33</v>
      </c>
      <c r="E58" s="10">
        <v>5.4</v>
      </c>
      <c r="F58" s="10">
        <v>15.5</v>
      </c>
      <c r="G58" s="10">
        <v>12</v>
      </c>
      <c r="H58" s="10">
        <v>5.5</v>
      </c>
      <c r="I58" s="8">
        <f t="shared" si="0"/>
        <v>23.75835</v>
      </c>
      <c r="K58" s="8">
        <f t="shared" si="5"/>
        <v>65.967787120588127</v>
      </c>
      <c r="L58" s="8">
        <f t="shared" si="2"/>
        <v>32.983893560294064</v>
      </c>
    </row>
    <row r="59" spans="1:12" x14ac:dyDescent="0.25">
      <c r="A59" s="1">
        <v>58</v>
      </c>
      <c r="B59" s="1">
        <v>37</v>
      </c>
      <c r="C59" s="3" t="s">
        <v>12</v>
      </c>
      <c r="D59" s="5" t="s">
        <v>33</v>
      </c>
      <c r="E59" s="10">
        <v>5.6</v>
      </c>
      <c r="F59" s="10">
        <v>16</v>
      </c>
      <c r="G59" s="10">
        <v>12.5</v>
      </c>
      <c r="H59" s="10">
        <v>5.7</v>
      </c>
      <c r="I59" s="8">
        <f t="shared" si="0"/>
        <v>25.517646000000003</v>
      </c>
      <c r="K59" s="8">
        <f t="shared" si="5"/>
        <v>70.542812837281161</v>
      </c>
      <c r="L59" s="8">
        <f t="shared" si="2"/>
        <v>35.271406418640581</v>
      </c>
    </row>
    <row r="60" spans="1:12" x14ac:dyDescent="0.25">
      <c r="A60" s="1">
        <v>59</v>
      </c>
      <c r="B60" s="1">
        <v>38</v>
      </c>
      <c r="C60" s="3" t="s">
        <v>12</v>
      </c>
      <c r="D60" s="5" t="s">
        <v>33</v>
      </c>
      <c r="E60" s="10">
        <v>5.8</v>
      </c>
      <c r="F60" s="10">
        <v>16.5</v>
      </c>
      <c r="G60" s="10">
        <v>13</v>
      </c>
      <c r="H60" s="10">
        <v>5.8</v>
      </c>
      <c r="I60" s="8">
        <f t="shared" si="0"/>
        <v>26.420856000000001</v>
      </c>
      <c r="K60" s="8">
        <f t="shared" si="5"/>
        <v>75.279627185496693</v>
      </c>
      <c r="L60" s="8">
        <f t="shared" si="2"/>
        <v>37.639813592748347</v>
      </c>
    </row>
    <row r="61" spans="1:12" x14ac:dyDescent="0.25">
      <c r="A61" s="1">
        <v>60</v>
      </c>
      <c r="B61" s="1">
        <v>39</v>
      </c>
      <c r="C61" s="3" t="s">
        <v>12</v>
      </c>
      <c r="D61" s="5" t="s">
        <v>33</v>
      </c>
      <c r="E61" s="10">
        <v>6</v>
      </c>
      <c r="F61" s="10">
        <v>17</v>
      </c>
      <c r="G61" s="10">
        <v>13.5</v>
      </c>
      <c r="H61" s="10">
        <v>6</v>
      </c>
      <c r="I61" s="8">
        <f t="shared" si="0"/>
        <v>28.2744</v>
      </c>
      <c r="K61" s="8">
        <f t="shared" si="5"/>
        <v>80.178788798156461</v>
      </c>
      <c r="L61" s="8">
        <f t="shared" si="2"/>
        <v>40.08939439907823</v>
      </c>
    </row>
    <row r="62" spans="1:12" x14ac:dyDescent="0.25">
      <c r="A62" s="1">
        <v>61</v>
      </c>
      <c r="B62" s="1">
        <v>40</v>
      </c>
      <c r="C62" s="3" t="s">
        <v>12</v>
      </c>
      <c r="D62" s="5" t="s">
        <v>33</v>
      </c>
      <c r="E62" s="10">
        <v>6.2</v>
      </c>
      <c r="F62" s="10">
        <v>17.5</v>
      </c>
      <c r="G62" s="10">
        <v>14</v>
      </c>
      <c r="H62" s="10">
        <v>6.2</v>
      </c>
      <c r="I62" s="8">
        <f t="shared" si="0"/>
        <v>30.190776000000003</v>
      </c>
      <c r="K62" s="8">
        <f t="shared" si="5"/>
        <v>85.240841468857738</v>
      </c>
      <c r="L62" s="8">
        <f t="shared" si="2"/>
        <v>42.620420734428869</v>
      </c>
    </row>
    <row r="63" spans="1:12" x14ac:dyDescent="0.25">
      <c r="A63" s="1">
        <v>62</v>
      </c>
      <c r="B63" s="1">
        <v>41</v>
      </c>
      <c r="C63" s="3" t="s">
        <v>12</v>
      </c>
      <c r="D63" s="5" t="s">
        <v>33</v>
      </c>
      <c r="E63" s="10">
        <v>6.4</v>
      </c>
      <c r="F63" s="10">
        <v>18</v>
      </c>
      <c r="G63" s="10">
        <v>14.2</v>
      </c>
      <c r="H63" s="10">
        <v>6.3</v>
      </c>
      <c r="I63" s="8">
        <f t="shared" si="0"/>
        <v>31.172525999999998</v>
      </c>
      <c r="K63" s="8">
        <f t="shared" si="5"/>
        <v>90.46631496579954</v>
      </c>
      <c r="L63" s="8">
        <f t="shared" si="2"/>
        <v>45.23315748289977</v>
      </c>
    </row>
    <row r="64" spans="1:12" x14ac:dyDescent="0.25">
      <c r="A64" s="1">
        <v>63</v>
      </c>
      <c r="B64" s="1">
        <v>42</v>
      </c>
      <c r="C64" s="3" t="s">
        <v>12</v>
      </c>
      <c r="D64" s="5" t="s">
        <v>33</v>
      </c>
      <c r="E64" s="10">
        <v>6.6</v>
      </c>
      <c r="F64" s="10">
        <v>18.2</v>
      </c>
      <c r="G64" s="10">
        <v>14.4</v>
      </c>
      <c r="H64" s="10">
        <v>6.4</v>
      </c>
      <c r="I64" s="8">
        <f t="shared" si="0"/>
        <v>32.169984000000007</v>
      </c>
      <c r="K64" s="8">
        <f t="shared" si="5"/>
        <v>92.602378319835978</v>
      </c>
      <c r="L64" s="8">
        <f t="shared" si="2"/>
        <v>46.301189159917989</v>
      </c>
    </row>
    <row r="65" spans="1:12" x14ac:dyDescent="0.25">
      <c r="A65" s="1">
        <v>64</v>
      </c>
      <c r="B65" s="1">
        <v>43</v>
      </c>
      <c r="C65" s="3" t="s">
        <v>12</v>
      </c>
      <c r="D65" s="5" t="s">
        <v>33</v>
      </c>
      <c r="E65" s="10">
        <v>6.8</v>
      </c>
      <c r="F65" s="10">
        <v>18.5</v>
      </c>
      <c r="G65" s="10">
        <v>14.6</v>
      </c>
      <c r="H65" s="10">
        <v>6.5</v>
      </c>
      <c r="I65" s="8">
        <f t="shared" si="0"/>
        <v>33.183149999999998</v>
      </c>
      <c r="K65" s="8">
        <f t="shared" si="5"/>
        <v>95.855725779333397</v>
      </c>
      <c r="L65" s="8">
        <f t="shared" si="2"/>
        <v>47.927862889666699</v>
      </c>
    </row>
    <row r="66" spans="1:12" x14ac:dyDescent="0.25">
      <c r="A66" s="1">
        <v>65</v>
      </c>
      <c r="B66" s="1">
        <v>44</v>
      </c>
      <c r="C66" s="3" t="s">
        <v>12</v>
      </c>
      <c r="D66" s="5" t="s">
        <v>33</v>
      </c>
      <c r="E66" s="10">
        <v>7</v>
      </c>
      <c r="F66" s="10">
        <v>18.8</v>
      </c>
      <c r="G66" s="10">
        <v>14.8</v>
      </c>
      <c r="H66" s="10">
        <v>6.6</v>
      </c>
      <c r="I66" s="8">
        <f t="shared" si="0"/>
        <v>34.212023999999992</v>
      </c>
      <c r="K66" s="8">
        <f t="shared" si="5"/>
        <v>99.168272306495027</v>
      </c>
      <c r="L66" s="8">
        <f t="shared" si="2"/>
        <v>49.584136153247513</v>
      </c>
    </row>
    <row r="67" spans="1:12" x14ac:dyDescent="0.25">
      <c r="A67" s="1">
        <v>66</v>
      </c>
      <c r="B67" s="1">
        <v>45</v>
      </c>
      <c r="C67" s="3" t="s">
        <v>12</v>
      </c>
      <c r="D67" s="5" t="s">
        <v>33</v>
      </c>
      <c r="E67" s="10">
        <v>7</v>
      </c>
      <c r="F67" s="10">
        <v>18.8</v>
      </c>
      <c r="G67" s="10">
        <v>14.8</v>
      </c>
      <c r="H67" s="10">
        <v>6.6</v>
      </c>
      <c r="I67" s="8">
        <f t="shared" ref="I67:I130" si="6">0.7854*H67^2</f>
        <v>34.212023999999992</v>
      </c>
      <c r="K67" s="8">
        <f t="shared" si="5"/>
        <v>99.168272306495027</v>
      </c>
      <c r="L67" s="8">
        <f t="shared" ref="L67:L130" si="7">K67*0.5</f>
        <v>49.584136153247513</v>
      </c>
    </row>
    <row r="68" spans="1:12" x14ac:dyDescent="0.25">
      <c r="A68" s="1">
        <v>67</v>
      </c>
      <c r="B68" s="1">
        <v>46</v>
      </c>
      <c r="C68" s="3" t="s">
        <v>12</v>
      </c>
      <c r="D68" s="5" t="s">
        <v>33</v>
      </c>
      <c r="E68" s="10">
        <v>7</v>
      </c>
      <c r="F68" s="10">
        <v>18.8</v>
      </c>
      <c r="G68" s="10">
        <v>14.8</v>
      </c>
      <c r="H68" s="10">
        <v>6.6</v>
      </c>
      <c r="I68" s="8">
        <f t="shared" si="6"/>
        <v>34.212023999999992</v>
      </c>
      <c r="K68" s="8">
        <f t="shared" si="5"/>
        <v>99.168272306495027</v>
      </c>
      <c r="L68" s="8">
        <f t="shared" si="7"/>
        <v>49.584136153247513</v>
      </c>
    </row>
    <row r="69" spans="1:12" x14ac:dyDescent="0.25">
      <c r="A69" s="1">
        <v>68</v>
      </c>
      <c r="B69" s="1">
        <v>47</v>
      </c>
      <c r="C69" s="3" t="s">
        <v>12</v>
      </c>
      <c r="D69" s="5" t="s">
        <v>33</v>
      </c>
      <c r="E69" s="10">
        <v>7</v>
      </c>
      <c r="F69" s="10">
        <v>18.8</v>
      </c>
      <c r="G69" s="10">
        <v>14.8</v>
      </c>
      <c r="H69" s="10">
        <v>6.6</v>
      </c>
      <c r="I69" s="8">
        <f t="shared" si="6"/>
        <v>34.212023999999992</v>
      </c>
      <c r="K69" s="8">
        <f t="shared" si="5"/>
        <v>99.168272306495027</v>
      </c>
      <c r="L69" s="8">
        <f t="shared" si="7"/>
        <v>49.584136153247513</v>
      </c>
    </row>
    <row r="70" spans="1:12" x14ac:dyDescent="0.25">
      <c r="A70" s="1">
        <v>69</v>
      </c>
      <c r="B70" s="1">
        <v>48</v>
      </c>
      <c r="C70" s="3" t="s">
        <v>12</v>
      </c>
      <c r="D70" s="5" t="s">
        <v>33</v>
      </c>
      <c r="E70" s="10">
        <v>5</v>
      </c>
      <c r="F70" s="10">
        <v>14.5</v>
      </c>
      <c r="G70" s="10">
        <v>11</v>
      </c>
      <c r="H70" s="10">
        <v>5.2</v>
      </c>
      <c r="I70" s="8">
        <f t="shared" si="6"/>
        <v>21.237216</v>
      </c>
      <c r="K70" s="8">
        <f t="shared" si="5"/>
        <v>57.300787438467317</v>
      </c>
      <c r="L70" s="8">
        <f t="shared" si="7"/>
        <v>28.650393719233659</v>
      </c>
    </row>
    <row r="71" spans="1:12" x14ac:dyDescent="0.25">
      <c r="A71" s="1">
        <v>70</v>
      </c>
      <c r="B71" s="1">
        <v>49</v>
      </c>
      <c r="C71" s="3" t="s">
        <v>12</v>
      </c>
      <c r="D71" s="5" t="s">
        <v>33</v>
      </c>
      <c r="E71" s="10">
        <v>5</v>
      </c>
      <c r="F71" s="10">
        <v>14.5</v>
      </c>
      <c r="G71" s="10">
        <v>11</v>
      </c>
      <c r="H71" s="10">
        <v>5.2</v>
      </c>
      <c r="I71" s="8">
        <f t="shared" si="6"/>
        <v>21.237216</v>
      </c>
      <c r="K71" s="8">
        <f t="shared" si="5"/>
        <v>57.300787438467317</v>
      </c>
      <c r="L71" s="8">
        <f t="shared" si="7"/>
        <v>28.650393719233659</v>
      </c>
    </row>
    <row r="72" spans="1:12" x14ac:dyDescent="0.25">
      <c r="A72" s="1">
        <v>71</v>
      </c>
      <c r="B72" s="1">
        <v>50</v>
      </c>
      <c r="C72" s="3" t="s">
        <v>12</v>
      </c>
      <c r="D72" s="5" t="s">
        <v>33</v>
      </c>
      <c r="E72" s="10">
        <v>5</v>
      </c>
      <c r="F72" s="10">
        <v>14.5</v>
      </c>
      <c r="G72" s="10">
        <v>11</v>
      </c>
      <c r="H72" s="10">
        <v>5.2</v>
      </c>
      <c r="I72" s="8">
        <f t="shared" si="6"/>
        <v>21.237216</v>
      </c>
      <c r="K72" s="8">
        <f t="shared" si="5"/>
        <v>57.300787438467317</v>
      </c>
      <c r="L72" s="8">
        <f t="shared" si="7"/>
        <v>28.650393719233659</v>
      </c>
    </row>
    <row r="73" spans="1:12" x14ac:dyDescent="0.25">
      <c r="A73" s="1">
        <v>72</v>
      </c>
      <c r="B73" s="1">
        <v>51</v>
      </c>
      <c r="C73" s="3" t="s">
        <v>12</v>
      </c>
      <c r="D73" s="5" t="s">
        <v>33</v>
      </c>
      <c r="E73" s="10">
        <v>5</v>
      </c>
      <c r="F73" s="10">
        <v>14.5</v>
      </c>
      <c r="G73" s="10">
        <v>12</v>
      </c>
      <c r="H73" s="10">
        <v>5.2</v>
      </c>
      <c r="I73" s="8">
        <f t="shared" si="6"/>
        <v>21.237216</v>
      </c>
      <c r="K73" s="8">
        <f t="shared" si="5"/>
        <v>57.300787438467317</v>
      </c>
      <c r="L73" s="8">
        <f t="shared" si="7"/>
        <v>28.650393719233659</v>
      </c>
    </row>
    <row r="74" spans="1:12" x14ac:dyDescent="0.25">
      <c r="A74" s="1">
        <v>73</v>
      </c>
      <c r="B74" s="1">
        <v>52</v>
      </c>
      <c r="C74" s="3" t="s">
        <v>12</v>
      </c>
      <c r="D74" s="5" t="s">
        <v>33</v>
      </c>
      <c r="E74" s="10">
        <v>5</v>
      </c>
      <c r="F74" s="10">
        <v>14.5</v>
      </c>
      <c r="G74" s="10">
        <v>11</v>
      </c>
      <c r="H74" s="10">
        <v>5.2</v>
      </c>
      <c r="I74" s="8">
        <f t="shared" si="6"/>
        <v>21.237216</v>
      </c>
      <c r="K74" s="8">
        <f t="shared" si="5"/>
        <v>57.300787438467317</v>
      </c>
      <c r="L74" s="8">
        <f t="shared" si="7"/>
        <v>28.650393719233659</v>
      </c>
    </row>
    <row r="75" spans="1:12" x14ac:dyDescent="0.25">
      <c r="A75" s="1">
        <v>74</v>
      </c>
      <c r="B75" s="1">
        <v>53</v>
      </c>
      <c r="C75" s="3" t="s">
        <v>12</v>
      </c>
      <c r="D75" s="5" t="s">
        <v>33</v>
      </c>
      <c r="E75" s="10">
        <v>5</v>
      </c>
      <c r="F75" s="10">
        <v>14.5</v>
      </c>
      <c r="G75" s="10">
        <v>11</v>
      </c>
      <c r="H75" s="10">
        <v>5.2</v>
      </c>
      <c r="I75" s="8">
        <f t="shared" si="6"/>
        <v>21.237216</v>
      </c>
      <c r="K75" s="8">
        <f t="shared" si="5"/>
        <v>57.300787438467317</v>
      </c>
      <c r="L75" s="8">
        <f t="shared" si="7"/>
        <v>28.650393719233659</v>
      </c>
    </row>
    <row r="76" spans="1:12" x14ac:dyDescent="0.25">
      <c r="A76" s="1">
        <v>75</v>
      </c>
      <c r="B76" s="1">
        <v>54</v>
      </c>
      <c r="C76" s="3" t="s">
        <v>12</v>
      </c>
      <c r="D76" s="5" t="s">
        <v>33</v>
      </c>
      <c r="E76" s="10">
        <v>5</v>
      </c>
      <c r="F76" s="10">
        <v>14.5</v>
      </c>
      <c r="G76" s="10">
        <v>9</v>
      </c>
      <c r="H76" s="10">
        <v>5.2</v>
      </c>
      <c r="I76" s="8">
        <f t="shared" si="6"/>
        <v>21.237216</v>
      </c>
      <c r="K76" s="8">
        <f t="shared" si="5"/>
        <v>57.300787438467317</v>
      </c>
      <c r="L76" s="8">
        <f t="shared" si="7"/>
        <v>28.650393719233659</v>
      </c>
    </row>
    <row r="77" spans="1:12" x14ac:dyDescent="0.25">
      <c r="A77" s="1">
        <v>76</v>
      </c>
      <c r="B77" s="1">
        <v>55</v>
      </c>
      <c r="C77" s="3" t="s">
        <v>12</v>
      </c>
      <c r="D77" s="5" t="s">
        <v>33</v>
      </c>
      <c r="E77" s="10">
        <v>5</v>
      </c>
      <c r="F77" s="10">
        <v>14.5</v>
      </c>
      <c r="G77" s="10">
        <v>11</v>
      </c>
      <c r="H77" s="10">
        <v>5.2</v>
      </c>
      <c r="I77" s="8">
        <f t="shared" si="6"/>
        <v>21.237216</v>
      </c>
      <c r="K77" s="8">
        <f t="shared" si="5"/>
        <v>57.300787438467317</v>
      </c>
      <c r="L77" s="8">
        <f t="shared" si="7"/>
        <v>28.650393719233659</v>
      </c>
    </row>
    <row r="78" spans="1:12" x14ac:dyDescent="0.25">
      <c r="A78" s="1">
        <v>77</v>
      </c>
      <c r="B78" s="1">
        <v>56</v>
      </c>
      <c r="C78" s="3" t="s">
        <v>12</v>
      </c>
      <c r="D78" s="5" t="s">
        <v>33</v>
      </c>
      <c r="E78" s="10">
        <v>7</v>
      </c>
      <c r="F78" s="10">
        <v>18.8</v>
      </c>
      <c r="G78" s="10">
        <v>14.8</v>
      </c>
      <c r="H78" s="10">
        <v>6.6</v>
      </c>
      <c r="I78" s="8">
        <f t="shared" si="6"/>
        <v>34.212023999999992</v>
      </c>
      <c r="K78" s="8">
        <f t="shared" si="5"/>
        <v>99.168272306495027</v>
      </c>
      <c r="L78" s="8">
        <f t="shared" si="7"/>
        <v>49.584136153247513</v>
      </c>
    </row>
    <row r="79" spans="1:12" x14ac:dyDescent="0.25">
      <c r="A79" s="1">
        <v>78</v>
      </c>
      <c r="B79" s="1">
        <v>57</v>
      </c>
      <c r="C79" s="3" t="s">
        <v>12</v>
      </c>
      <c r="D79" s="5" t="s">
        <v>33</v>
      </c>
      <c r="E79" s="10">
        <v>7</v>
      </c>
      <c r="F79" s="10">
        <v>18.8</v>
      </c>
      <c r="G79" s="10">
        <v>14.8</v>
      </c>
      <c r="H79" s="10">
        <v>6.6</v>
      </c>
      <c r="I79" s="8">
        <f t="shared" si="6"/>
        <v>34.212023999999992</v>
      </c>
      <c r="K79" s="8">
        <f t="shared" si="5"/>
        <v>99.168272306495027</v>
      </c>
      <c r="L79" s="8">
        <f t="shared" si="7"/>
        <v>49.584136153247513</v>
      </c>
    </row>
    <row r="80" spans="1:12" x14ac:dyDescent="0.25">
      <c r="A80" s="1">
        <v>79</v>
      </c>
      <c r="B80" s="1">
        <v>58</v>
      </c>
      <c r="C80" s="3" t="s">
        <v>12</v>
      </c>
      <c r="D80" s="5" t="s">
        <v>33</v>
      </c>
      <c r="E80" s="10">
        <v>7</v>
      </c>
      <c r="F80" s="10">
        <v>18.8</v>
      </c>
      <c r="G80" s="10">
        <v>14.8</v>
      </c>
      <c r="H80" s="10">
        <v>6.6</v>
      </c>
      <c r="I80" s="8">
        <f t="shared" si="6"/>
        <v>34.212023999999992</v>
      </c>
      <c r="K80" s="8">
        <f t="shared" si="5"/>
        <v>99.168272306495027</v>
      </c>
      <c r="L80" s="8">
        <f t="shared" si="7"/>
        <v>49.584136153247513</v>
      </c>
    </row>
    <row r="81" spans="1:13" x14ac:dyDescent="0.25">
      <c r="A81" s="1">
        <v>80</v>
      </c>
      <c r="B81" s="1">
        <v>59</v>
      </c>
      <c r="C81" s="3" t="s">
        <v>12</v>
      </c>
      <c r="D81" s="5" t="s">
        <v>33</v>
      </c>
      <c r="E81" s="10">
        <v>7</v>
      </c>
      <c r="F81" s="10">
        <v>18.8</v>
      </c>
      <c r="G81" s="10">
        <v>14.8</v>
      </c>
      <c r="H81" s="10">
        <v>6.6</v>
      </c>
      <c r="I81" s="8">
        <f t="shared" si="6"/>
        <v>34.212023999999992</v>
      </c>
      <c r="K81" s="8">
        <f t="shared" si="5"/>
        <v>99.168272306495027</v>
      </c>
      <c r="L81" s="8">
        <f t="shared" si="7"/>
        <v>49.584136153247513</v>
      </c>
    </row>
    <row r="82" spans="1:13" x14ac:dyDescent="0.25">
      <c r="A82" s="1">
        <v>81</v>
      </c>
      <c r="B82" s="1">
        <v>60</v>
      </c>
      <c r="C82" s="3" t="s">
        <v>12</v>
      </c>
      <c r="D82" s="5" t="s">
        <v>33</v>
      </c>
      <c r="E82" s="10">
        <v>7</v>
      </c>
      <c r="F82" s="10">
        <v>18.8</v>
      </c>
      <c r="G82" s="10">
        <v>14.8</v>
      </c>
      <c r="H82" s="10">
        <v>6.6</v>
      </c>
      <c r="I82" s="8">
        <f t="shared" si="6"/>
        <v>34.212023999999992</v>
      </c>
      <c r="K82" s="8">
        <f t="shared" si="5"/>
        <v>99.168272306495027</v>
      </c>
      <c r="L82" s="8">
        <f t="shared" si="7"/>
        <v>49.584136153247513</v>
      </c>
      <c r="M82" s="8">
        <f>SUM(L23:L82)</f>
        <v>1215.3713932298642</v>
      </c>
    </row>
    <row r="83" spans="1:13" x14ac:dyDescent="0.25">
      <c r="A83" s="1">
        <v>82</v>
      </c>
      <c r="B83" s="1">
        <v>1</v>
      </c>
      <c r="C83" s="3" t="s">
        <v>13</v>
      </c>
      <c r="D83" s="4" t="s">
        <v>31</v>
      </c>
      <c r="E83" s="10">
        <v>1.7</v>
      </c>
      <c r="F83" s="10">
        <v>5.3</v>
      </c>
      <c r="G83" s="10">
        <v>4</v>
      </c>
      <c r="H83" s="10">
        <v>1.9</v>
      </c>
      <c r="I83" s="8">
        <f t="shared" si="6"/>
        <v>2.8352939999999998</v>
      </c>
      <c r="K83" s="8">
        <f t="shared" ref="K83:K109" si="8">0.202*(F83^2.112)</f>
        <v>6.8394630250130808</v>
      </c>
      <c r="L83" s="8">
        <f t="shared" si="7"/>
        <v>3.4197315125065404</v>
      </c>
    </row>
    <row r="84" spans="1:13" x14ac:dyDescent="0.25">
      <c r="A84" s="1">
        <v>83</v>
      </c>
      <c r="B84" s="1">
        <v>2</v>
      </c>
      <c r="C84" s="3" t="s">
        <v>13</v>
      </c>
      <c r="D84" s="4" t="s">
        <v>31</v>
      </c>
      <c r="E84" s="10">
        <v>1.7</v>
      </c>
      <c r="F84" s="10">
        <v>5.3</v>
      </c>
      <c r="G84" s="10">
        <v>4</v>
      </c>
      <c r="H84" s="10">
        <v>1.9</v>
      </c>
      <c r="I84" s="8">
        <f t="shared" si="6"/>
        <v>2.8352939999999998</v>
      </c>
      <c r="K84" s="8">
        <f t="shared" si="8"/>
        <v>6.8394630250130808</v>
      </c>
      <c r="L84" s="8">
        <f t="shared" si="7"/>
        <v>3.4197315125065404</v>
      </c>
    </row>
    <row r="85" spans="1:13" x14ac:dyDescent="0.25">
      <c r="A85" s="1">
        <v>84</v>
      </c>
      <c r="B85" s="1">
        <v>3</v>
      </c>
      <c r="C85" s="3" t="s">
        <v>13</v>
      </c>
      <c r="D85" s="4" t="s">
        <v>31</v>
      </c>
      <c r="E85" s="10">
        <v>1.7</v>
      </c>
      <c r="F85" s="10">
        <v>5.3</v>
      </c>
      <c r="G85" s="10">
        <v>4</v>
      </c>
      <c r="H85" s="10">
        <v>1.9</v>
      </c>
      <c r="I85" s="8">
        <f t="shared" si="6"/>
        <v>2.8352939999999998</v>
      </c>
      <c r="K85" s="8">
        <f t="shared" si="8"/>
        <v>6.8394630250130808</v>
      </c>
      <c r="L85" s="8">
        <f t="shared" si="7"/>
        <v>3.4197315125065404</v>
      </c>
    </row>
    <row r="86" spans="1:13" x14ac:dyDescent="0.25">
      <c r="A86" s="1">
        <v>85</v>
      </c>
      <c r="B86" s="1">
        <v>4</v>
      </c>
      <c r="C86" s="3" t="s">
        <v>13</v>
      </c>
      <c r="D86" s="4" t="s">
        <v>31</v>
      </c>
      <c r="E86" s="10">
        <v>1.7</v>
      </c>
      <c r="F86" s="10">
        <v>5.3</v>
      </c>
      <c r="G86" s="10">
        <v>4</v>
      </c>
      <c r="H86" s="10">
        <v>1.9</v>
      </c>
      <c r="I86" s="8">
        <f t="shared" si="6"/>
        <v>2.8352939999999998</v>
      </c>
      <c r="K86" s="8">
        <f t="shared" si="8"/>
        <v>6.8394630250130808</v>
      </c>
      <c r="L86" s="8">
        <f t="shared" si="7"/>
        <v>3.4197315125065404</v>
      </c>
    </row>
    <row r="87" spans="1:13" x14ac:dyDescent="0.25">
      <c r="A87" s="1">
        <v>86</v>
      </c>
      <c r="B87" s="1">
        <v>5</v>
      </c>
      <c r="C87" s="3" t="s">
        <v>13</v>
      </c>
      <c r="D87" s="4" t="s">
        <v>31</v>
      </c>
      <c r="E87" s="10">
        <v>1.7</v>
      </c>
      <c r="F87" s="10">
        <v>5.3</v>
      </c>
      <c r="G87" s="10">
        <v>4</v>
      </c>
      <c r="H87" s="10">
        <v>1.9</v>
      </c>
      <c r="I87" s="8">
        <f t="shared" si="6"/>
        <v>2.8352939999999998</v>
      </c>
      <c r="K87" s="8">
        <f t="shared" si="8"/>
        <v>6.8394630250130808</v>
      </c>
      <c r="L87" s="8">
        <f t="shared" si="7"/>
        <v>3.4197315125065404</v>
      </c>
    </row>
    <row r="88" spans="1:13" x14ac:dyDescent="0.25">
      <c r="A88" s="1">
        <v>87</v>
      </c>
      <c r="B88" s="1">
        <v>6</v>
      </c>
      <c r="C88" s="3" t="s">
        <v>13</v>
      </c>
      <c r="D88" s="4" t="s">
        <v>31</v>
      </c>
      <c r="E88" s="10">
        <v>1.7</v>
      </c>
      <c r="F88" s="10">
        <v>5.3</v>
      </c>
      <c r="G88" s="10">
        <v>4</v>
      </c>
      <c r="H88" s="10">
        <v>1.9</v>
      </c>
      <c r="I88" s="8">
        <f t="shared" si="6"/>
        <v>2.8352939999999998</v>
      </c>
      <c r="K88" s="8">
        <f t="shared" si="8"/>
        <v>6.8394630250130808</v>
      </c>
      <c r="L88" s="8">
        <f t="shared" si="7"/>
        <v>3.4197315125065404</v>
      </c>
    </row>
    <row r="89" spans="1:13" x14ac:dyDescent="0.25">
      <c r="A89" s="1">
        <v>88</v>
      </c>
      <c r="B89" s="1">
        <v>7</v>
      </c>
      <c r="C89" s="3" t="s">
        <v>13</v>
      </c>
      <c r="D89" s="4" t="s">
        <v>31</v>
      </c>
      <c r="E89" s="10">
        <v>1.7</v>
      </c>
      <c r="F89" s="10">
        <v>5.3</v>
      </c>
      <c r="G89" s="10">
        <v>4</v>
      </c>
      <c r="H89" s="10">
        <v>1.9</v>
      </c>
      <c r="I89" s="8">
        <f t="shared" si="6"/>
        <v>2.8352939999999998</v>
      </c>
      <c r="K89" s="8">
        <f t="shared" si="8"/>
        <v>6.8394630250130808</v>
      </c>
      <c r="L89" s="8">
        <f t="shared" si="7"/>
        <v>3.4197315125065404</v>
      </c>
    </row>
    <row r="90" spans="1:13" x14ac:dyDescent="0.25">
      <c r="A90" s="1">
        <v>89</v>
      </c>
      <c r="B90" s="1">
        <v>8</v>
      </c>
      <c r="C90" s="3" t="s">
        <v>13</v>
      </c>
      <c r="D90" s="4" t="s">
        <v>31</v>
      </c>
      <c r="E90" s="10">
        <v>1.7</v>
      </c>
      <c r="F90" s="10">
        <v>5.3</v>
      </c>
      <c r="G90" s="10">
        <v>4</v>
      </c>
      <c r="H90" s="10">
        <v>1.9</v>
      </c>
      <c r="I90" s="8">
        <f t="shared" si="6"/>
        <v>2.8352939999999998</v>
      </c>
      <c r="K90" s="8">
        <f t="shared" si="8"/>
        <v>6.8394630250130808</v>
      </c>
      <c r="L90" s="8">
        <f t="shared" si="7"/>
        <v>3.4197315125065404</v>
      </c>
    </row>
    <row r="91" spans="1:13" x14ac:dyDescent="0.25">
      <c r="A91" s="1">
        <v>90</v>
      </c>
      <c r="B91" s="1">
        <v>9</v>
      </c>
      <c r="C91" s="3" t="s">
        <v>13</v>
      </c>
      <c r="D91" s="4" t="s">
        <v>31</v>
      </c>
      <c r="E91" s="10">
        <v>1.7</v>
      </c>
      <c r="F91" s="10">
        <v>5.3</v>
      </c>
      <c r="G91" s="10">
        <v>4</v>
      </c>
      <c r="H91" s="10">
        <v>1.9</v>
      </c>
      <c r="I91" s="8">
        <f t="shared" si="6"/>
        <v>2.8352939999999998</v>
      </c>
      <c r="K91" s="8">
        <f t="shared" si="8"/>
        <v>6.8394630250130808</v>
      </c>
      <c r="L91" s="8">
        <f t="shared" si="7"/>
        <v>3.4197315125065404</v>
      </c>
    </row>
    <row r="92" spans="1:13" x14ac:dyDescent="0.25">
      <c r="A92" s="1">
        <v>91</v>
      </c>
      <c r="B92" s="1">
        <v>10</v>
      </c>
      <c r="C92" s="3" t="s">
        <v>13</v>
      </c>
      <c r="D92" s="4" t="s">
        <v>31</v>
      </c>
      <c r="E92" s="10">
        <v>1.7</v>
      </c>
      <c r="F92" s="10">
        <v>5.3</v>
      </c>
      <c r="G92" s="10">
        <v>4</v>
      </c>
      <c r="H92" s="10">
        <v>1.9</v>
      </c>
      <c r="I92" s="8">
        <f t="shared" si="6"/>
        <v>2.8352939999999998</v>
      </c>
      <c r="K92" s="8">
        <f t="shared" si="8"/>
        <v>6.8394630250130808</v>
      </c>
      <c r="L92" s="8">
        <f t="shared" si="7"/>
        <v>3.4197315125065404</v>
      </c>
    </row>
    <row r="93" spans="1:13" x14ac:dyDescent="0.25">
      <c r="A93" s="1">
        <v>92</v>
      </c>
      <c r="B93" s="1">
        <v>11</v>
      </c>
      <c r="C93" s="3" t="s">
        <v>13</v>
      </c>
      <c r="D93" s="4" t="s">
        <v>31</v>
      </c>
      <c r="E93" s="10">
        <v>1.7</v>
      </c>
      <c r="F93" s="10">
        <v>5.3</v>
      </c>
      <c r="G93" s="10">
        <v>4</v>
      </c>
      <c r="H93" s="10">
        <v>1.9</v>
      </c>
      <c r="I93" s="8">
        <f t="shared" si="6"/>
        <v>2.8352939999999998</v>
      </c>
      <c r="K93" s="8">
        <f t="shared" si="8"/>
        <v>6.8394630250130808</v>
      </c>
      <c r="L93" s="8">
        <f t="shared" si="7"/>
        <v>3.4197315125065404</v>
      </c>
    </row>
    <row r="94" spans="1:13" x14ac:dyDescent="0.25">
      <c r="A94" s="1">
        <v>93</v>
      </c>
      <c r="B94" s="1">
        <v>12</v>
      </c>
      <c r="C94" s="3" t="s">
        <v>13</v>
      </c>
      <c r="D94" s="4" t="s">
        <v>31</v>
      </c>
      <c r="E94" s="10">
        <v>1.7</v>
      </c>
      <c r="F94" s="10">
        <v>5.3</v>
      </c>
      <c r="G94" s="10">
        <v>4</v>
      </c>
      <c r="H94" s="10">
        <v>1.9</v>
      </c>
      <c r="I94" s="8">
        <f t="shared" si="6"/>
        <v>2.8352939999999998</v>
      </c>
      <c r="K94" s="8">
        <f t="shared" si="8"/>
        <v>6.8394630250130808</v>
      </c>
      <c r="L94" s="8">
        <f t="shared" si="7"/>
        <v>3.4197315125065404</v>
      </c>
    </row>
    <row r="95" spans="1:13" x14ac:dyDescent="0.25">
      <c r="A95" s="1">
        <v>94</v>
      </c>
      <c r="B95" s="1">
        <v>13</v>
      </c>
      <c r="C95" s="3" t="s">
        <v>13</v>
      </c>
      <c r="D95" s="4" t="s">
        <v>31</v>
      </c>
      <c r="E95" s="10">
        <v>1.7</v>
      </c>
      <c r="F95" s="10">
        <v>5.3</v>
      </c>
      <c r="G95" s="10">
        <v>4</v>
      </c>
      <c r="H95" s="10">
        <v>1.9</v>
      </c>
      <c r="I95" s="8">
        <f t="shared" si="6"/>
        <v>2.8352939999999998</v>
      </c>
      <c r="K95" s="8">
        <f t="shared" si="8"/>
        <v>6.8394630250130808</v>
      </c>
      <c r="L95" s="8">
        <f t="shared" si="7"/>
        <v>3.4197315125065404</v>
      </c>
    </row>
    <row r="96" spans="1:13" x14ac:dyDescent="0.25">
      <c r="A96" s="1">
        <v>95</v>
      </c>
      <c r="B96" s="1">
        <v>14</v>
      </c>
      <c r="C96" s="3" t="s">
        <v>13</v>
      </c>
      <c r="D96" s="4" t="s">
        <v>31</v>
      </c>
      <c r="E96" s="10">
        <v>1.7</v>
      </c>
      <c r="F96" s="10">
        <v>5.3</v>
      </c>
      <c r="G96" s="10">
        <v>4</v>
      </c>
      <c r="H96" s="10">
        <v>1.9</v>
      </c>
      <c r="I96" s="8">
        <f t="shared" si="6"/>
        <v>2.8352939999999998</v>
      </c>
      <c r="K96" s="8">
        <f t="shared" si="8"/>
        <v>6.8394630250130808</v>
      </c>
      <c r="L96" s="8">
        <f t="shared" si="7"/>
        <v>3.4197315125065404</v>
      </c>
    </row>
    <row r="97" spans="1:13" x14ac:dyDescent="0.25">
      <c r="A97" s="1">
        <v>96</v>
      </c>
      <c r="B97" s="1">
        <v>15</v>
      </c>
      <c r="C97" s="3" t="s">
        <v>13</v>
      </c>
      <c r="D97" s="4" t="s">
        <v>31</v>
      </c>
      <c r="E97" s="10">
        <v>1.7</v>
      </c>
      <c r="F97" s="10">
        <v>5.3</v>
      </c>
      <c r="G97" s="10">
        <v>4</v>
      </c>
      <c r="H97" s="10">
        <v>1.9</v>
      </c>
      <c r="I97" s="8">
        <f t="shared" si="6"/>
        <v>2.8352939999999998</v>
      </c>
      <c r="K97" s="8">
        <f t="shared" si="8"/>
        <v>6.8394630250130808</v>
      </c>
      <c r="L97" s="8">
        <f t="shared" si="7"/>
        <v>3.4197315125065404</v>
      </c>
    </row>
    <row r="98" spans="1:13" x14ac:dyDescent="0.25">
      <c r="A98" s="1">
        <v>97</v>
      </c>
      <c r="B98" s="1">
        <v>16</v>
      </c>
      <c r="C98" s="3" t="s">
        <v>13</v>
      </c>
      <c r="D98" s="4" t="s">
        <v>31</v>
      </c>
      <c r="E98" s="10">
        <v>3.4</v>
      </c>
      <c r="F98" s="10">
        <v>9</v>
      </c>
      <c r="G98" s="10">
        <v>6.9</v>
      </c>
      <c r="H98" s="10">
        <v>3.6</v>
      </c>
      <c r="I98" s="8">
        <f t="shared" si="6"/>
        <v>10.178784</v>
      </c>
      <c r="K98" s="8">
        <f t="shared" si="8"/>
        <v>20.92722045653035</v>
      </c>
      <c r="L98" s="8">
        <f t="shared" si="7"/>
        <v>10.463610228265175</v>
      </c>
    </row>
    <row r="99" spans="1:13" x14ac:dyDescent="0.25">
      <c r="A99" s="1">
        <v>98</v>
      </c>
      <c r="B99" s="1">
        <v>17</v>
      </c>
      <c r="C99" s="3" t="s">
        <v>13</v>
      </c>
      <c r="D99" s="4" t="s">
        <v>31</v>
      </c>
      <c r="E99" s="10">
        <v>4.5</v>
      </c>
      <c r="F99" s="10">
        <v>13</v>
      </c>
      <c r="G99" s="10">
        <v>9.8000000000000007</v>
      </c>
      <c r="H99" s="10">
        <v>4.8</v>
      </c>
      <c r="I99" s="8">
        <f t="shared" si="6"/>
        <v>18.095616</v>
      </c>
      <c r="K99" s="8">
        <f t="shared" si="8"/>
        <v>45.498777678070901</v>
      </c>
      <c r="L99" s="8">
        <f t="shared" si="7"/>
        <v>22.749388839035451</v>
      </c>
    </row>
    <row r="100" spans="1:13" x14ac:dyDescent="0.25">
      <c r="A100" s="1">
        <v>99</v>
      </c>
      <c r="B100" s="1">
        <v>18</v>
      </c>
      <c r="C100" s="3" t="s">
        <v>13</v>
      </c>
      <c r="D100" s="4" t="s">
        <v>31</v>
      </c>
      <c r="E100" s="10">
        <v>4.8</v>
      </c>
      <c r="F100" s="10">
        <v>14</v>
      </c>
      <c r="G100" s="10">
        <v>10.5</v>
      </c>
      <c r="H100" s="10">
        <v>5</v>
      </c>
      <c r="I100" s="8">
        <f t="shared" si="6"/>
        <v>19.634999999999998</v>
      </c>
      <c r="K100" s="8">
        <f t="shared" si="8"/>
        <v>53.20761358279254</v>
      </c>
      <c r="L100" s="8">
        <f t="shared" si="7"/>
        <v>26.60380679139627</v>
      </c>
    </row>
    <row r="101" spans="1:13" x14ac:dyDescent="0.25">
      <c r="A101" s="1">
        <v>100</v>
      </c>
      <c r="B101" s="1">
        <v>19</v>
      </c>
      <c r="C101" s="3" t="s">
        <v>13</v>
      </c>
      <c r="D101" s="4" t="s">
        <v>31</v>
      </c>
      <c r="E101" s="10">
        <v>5</v>
      </c>
      <c r="F101" s="10">
        <v>14.5</v>
      </c>
      <c r="G101" s="10">
        <v>11</v>
      </c>
      <c r="H101" s="10">
        <v>5.2</v>
      </c>
      <c r="I101" s="8">
        <f t="shared" si="6"/>
        <v>21.237216</v>
      </c>
      <c r="K101" s="8">
        <f t="shared" si="8"/>
        <v>57.300787438467317</v>
      </c>
      <c r="L101" s="8">
        <f t="shared" si="7"/>
        <v>28.650393719233659</v>
      </c>
    </row>
    <row r="102" spans="1:13" x14ac:dyDescent="0.25">
      <c r="A102" s="1">
        <v>101</v>
      </c>
      <c r="B102" s="1">
        <v>20</v>
      </c>
      <c r="C102" s="3" t="s">
        <v>13</v>
      </c>
      <c r="D102" s="4" t="s">
        <v>31</v>
      </c>
      <c r="E102" s="10">
        <v>5.2</v>
      </c>
      <c r="F102" s="10">
        <v>15</v>
      </c>
      <c r="G102" s="10">
        <v>11.5</v>
      </c>
      <c r="H102" s="10">
        <v>5.3</v>
      </c>
      <c r="I102" s="8">
        <f t="shared" si="6"/>
        <v>22.061886000000001</v>
      </c>
      <c r="K102" s="8">
        <f t="shared" si="8"/>
        <v>61.553975674683002</v>
      </c>
      <c r="L102" s="8">
        <f t="shared" si="7"/>
        <v>30.776987837341501</v>
      </c>
    </row>
    <row r="103" spans="1:13" x14ac:dyDescent="0.25">
      <c r="A103" s="1">
        <v>102</v>
      </c>
      <c r="B103" s="1">
        <v>21</v>
      </c>
      <c r="C103" s="3" t="s">
        <v>13</v>
      </c>
      <c r="D103" s="4" t="s">
        <v>31</v>
      </c>
      <c r="E103" s="10">
        <v>5.4</v>
      </c>
      <c r="F103" s="10">
        <v>15.5</v>
      </c>
      <c r="G103" s="10">
        <v>12</v>
      </c>
      <c r="H103" s="10">
        <v>5.5</v>
      </c>
      <c r="I103" s="8">
        <f t="shared" si="6"/>
        <v>23.75835</v>
      </c>
      <c r="K103" s="8">
        <f t="shared" si="8"/>
        <v>65.967787120588127</v>
      </c>
      <c r="L103" s="8">
        <f t="shared" si="7"/>
        <v>32.983893560294064</v>
      </c>
    </row>
    <row r="104" spans="1:13" x14ac:dyDescent="0.25">
      <c r="A104" s="1">
        <v>103</v>
      </c>
      <c r="B104" s="1">
        <v>22</v>
      </c>
      <c r="C104" s="3" t="s">
        <v>13</v>
      </c>
      <c r="D104" s="4" t="s">
        <v>31</v>
      </c>
      <c r="E104" s="10">
        <v>5.6</v>
      </c>
      <c r="F104" s="10">
        <v>16</v>
      </c>
      <c r="G104" s="10">
        <v>12.5</v>
      </c>
      <c r="H104" s="10">
        <v>5.7</v>
      </c>
      <c r="I104" s="8">
        <f t="shared" si="6"/>
        <v>25.517646000000003</v>
      </c>
      <c r="K104" s="8">
        <f t="shared" si="8"/>
        <v>70.542812837281161</v>
      </c>
      <c r="L104" s="8">
        <f t="shared" si="7"/>
        <v>35.271406418640581</v>
      </c>
    </row>
    <row r="105" spans="1:13" x14ac:dyDescent="0.25">
      <c r="A105" s="1">
        <v>104</v>
      </c>
      <c r="B105" s="1">
        <v>23</v>
      </c>
      <c r="C105" s="3" t="s">
        <v>13</v>
      </c>
      <c r="D105" s="4" t="s">
        <v>31</v>
      </c>
      <c r="E105" s="10">
        <v>5.8</v>
      </c>
      <c r="F105" s="10">
        <v>16.5</v>
      </c>
      <c r="G105" s="10">
        <v>13</v>
      </c>
      <c r="H105" s="10">
        <v>5.8</v>
      </c>
      <c r="I105" s="8">
        <f t="shared" si="6"/>
        <v>26.420856000000001</v>
      </c>
      <c r="K105" s="8">
        <f t="shared" si="8"/>
        <v>75.279627185496693</v>
      </c>
      <c r="L105" s="8">
        <f t="shared" si="7"/>
        <v>37.639813592748347</v>
      </c>
    </row>
    <row r="106" spans="1:13" x14ac:dyDescent="0.25">
      <c r="A106" s="1">
        <v>105</v>
      </c>
      <c r="B106" s="1">
        <v>24</v>
      </c>
      <c r="C106" s="3" t="s">
        <v>13</v>
      </c>
      <c r="D106" s="4" t="s">
        <v>31</v>
      </c>
      <c r="E106" s="10">
        <v>6</v>
      </c>
      <c r="F106" s="10">
        <v>17</v>
      </c>
      <c r="G106" s="10">
        <v>13.5</v>
      </c>
      <c r="H106" s="10">
        <v>5.9</v>
      </c>
      <c r="I106" s="8">
        <f t="shared" si="6"/>
        <v>27.339774000000002</v>
      </c>
      <c r="K106" s="8">
        <f t="shared" si="8"/>
        <v>80.178788798156461</v>
      </c>
      <c r="L106" s="8">
        <f t="shared" si="7"/>
        <v>40.08939439907823</v>
      </c>
    </row>
    <row r="107" spans="1:13" x14ac:dyDescent="0.25">
      <c r="A107" s="1">
        <v>106</v>
      </c>
      <c r="B107" s="1">
        <v>25</v>
      </c>
      <c r="C107" s="3" t="s">
        <v>13</v>
      </c>
      <c r="D107" s="4" t="s">
        <v>31</v>
      </c>
      <c r="E107" s="10">
        <v>6.2</v>
      </c>
      <c r="F107" s="10">
        <v>17.5</v>
      </c>
      <c r="G107" s="10">
        <v>14</v>
      </c>
      <c r="H107" s="10">
        <v>6</v>
      </c>
      <c r="I107" s="8">
        <f t="shared" si="6"/>
        <v>28.2744</v>
      </c>
      <c r="K107" s="8">
        <f t="shared" si="8"/>
        <v>85.240841468857738</v>
      </c>
      <c r="L107" s="8">
        <f t="shared" si="7"/>
        <v>42.620420734428869</v>
      </c>
    </row>
    <row r="108" spans="1:13" x14ac:dyDescent="0.25">
      <c r="A108" s="1">
        <v>107</v>
      </c>
      <c r="B108" s="1">
        <v>26</v>
      </c>
      <c r="C108" s="3" t="s">
        <v>13</v>
      </c>
      <c r="D108" s="4" t="s">
        <v>31</v>
      </c>
      <c r="E108" s="10">
        <v>6.4</v>
      </c>
      <c r="F108" s="10">
        <v>18</v>
      </c>
      <c r="G108" s="10">
        <v>14.5</v>
      </c>
      <c r="H108" s="10">
        <v>6.1</v>
      </c>
      <c r="I108" s="8">
        <f t="shared" si="6"/>
        <v>29.224733999999994</v>
      </c>
      <c r="K108" s="8">
        <f t="shared" si="8"/>
        <v>90.46631496579954</v>
      </c>
      <c r="L108" s="8">
        <f t="shared" si="7"/>
        <v>45.23315748289977</v>
      </c>
    </row>
    <row r="109" spans="1:13" x14ac:dyDescent="0.25">
      <c r="A109" s="1">
        <v>108</v>
      </c>
      <c r="B109" s="1">
        <v>27</v>
      </c>
      <c r="C109" s="3" t="s">
        <v>13</v>
      </c>
      <c r="D109" s="4" t="s">
        <v>31</v>
      </c>
      <c r="E109" s="10">
        <v>6.6</v>
      </c>
      <c r="F109" s="10">
        <v>18.5</v>
      </c>
      <c r="G109" s="10">
        <v>15</v>
      </c>
      <c r="H109" s="10">
        <v>6.2</v>
      </c>
      <c r="I109" s="8">
        <f t="shared" si="6"/>
        <v>30.190776000000003</v>
      </c>
      <c r="K109" s="8">
        <f t="shared" si="8"/>
        <v>95.855725779333397</v>
      </c>
      <c r="L109" s="8">
        <f t="shared" si="7"/>
        <v>47.927862889666699</v>
      </c>
      <c r="M109" s="7">
        <f>SUM(L83:L109)</f>
        <v>452.30610918062666</v>
      </c>
    </row>
    <row r="110" spans="1:13" x14ac:dyDescent="0.25">
      <c r="A110" s="1">
        <v>109</v>
      </c>
      <c r="B110" s="1">
        <v>1</v>
      </c>
      <c r="C110" s="3" t="s">
        <v>49</v>
      </c>
      <c r="D110" s="5" t="s">
        <v>23</v>
      </c>
      <c r="E110" s="10">
        <v>2.08</v>
      </c>
      <c r="F110" s="10">
        <v>9.9499999999999993</v>
      </c>
      <c r="G110" s="10">
        <v>4.34</v>
      </c>
      <c r="H110" s="10">
        <v>1.91</v>
      </c>
      <c r="I110" s="8">
        <f t="shared" si="6"/>
        <v>2.8652177399999998</v>
      </c>
      <c r="K110" s="8">
        <f>0.2811*G110^2.0635</f>
        <v>5.8119370595894466</v>
      </c>
      <c r="L110" s="8">
        <f t="shared" si="7"/>
        <v>2.9059685297947233</v>
      </c>
    </row>
    <row r="111" spans="1:13" x14ac:dyDescent="0.25">
      <c r="A111" s="1">
        <v>110</v>
      </c>
      <c r="B111" s="1">
        <v>2</v>
      </c>
      <c r="C111" s="3" t="s">
        <v>49</v>
      </c>
      <c r="D111" s="5" t="s">
        <v>23</v>
      </c>
      <c r="E111" s="10">
        <v>1.61</v>
      </c>
      <c r="F111" s="10">
        <v>6.07</v>
      </c>
      <c r="G111" s="10">
        <v>5.26</v>
      </c>
      <c r="H111" s="10">
        <v>1.75</v>
      </c>
      <c r="I111" s="8">
        <f t="shared" si="6"/>
        <v>2.4052875</v>
      </c>
      <c r="K111" s="8">
        <f t="shared" ref="K111:K174" si="9">0.2811*G111^2.0635</f>
        <v>8.6420132665037901</v>
      </c>
      <c r="L111" s="8">
        <f t="shared" si="7"/>
        <v>4.321006633251895</v>
      </c>
    </row>
    <row r="112" spans="1:13" x14ac:dyDescent="0.25">
      <c r="A112" s="1">
        <v>111</v>
      </c>
      <c r="B112" s="1">
        <v>3</v>
      </c>
      <c r="C112" s="3" t="s">
        <v>49</v>
      </c>
      <c r="D112" s="5" t="s">
        <v>23</v>
      </c>
      <c r="E112" s="10">
        <v>1.1100000000000001</v>
      </c>
      <c r="F112" s="10">
        <v>9.0299999999999994</v>
      </c>
      <c r="G112" s="10">
        <v>4.59</v>
      </c>
      <c r="H112" s="10">
        <v>1.89</v>
      </c>
      <c r="I112" s="8">
        <f t="shared" si="6"/>
        <v>2.8055273399999998</v>
      </c>
      <c r="K112" s="8">
        <f t="shared" si="9"/>
        <v>6.5239604897650079</v>
      </c>
      <c r="L112" s="8">
        <f t="shared" si="7"/>
        <v>3.2619802448825039</v>
      </c>
    </row>
    <row r="113" spans="1:12" x14ac:dyDescent="0.25">
      <c r="A113" s="1">
        <v>112</v>
      </c>
      <c r="B113" s="1">
        <v>4</v>
      </c>
      <c r="C113" s="3" t="s">
        <v>49</v>
      </c>
      <c r="D113" s="5" t="s">
        <v>23</v>
      </c>
      <c r="E113" s="10">
        <v>1.6</v>
      </c>
      <c r="F113" s="10">
        <v>9.25</v>
      </c>
      <c r="G113" s="10">
        <v>5.48</v>
      </c>
      <c r="H113" s="10">
        <v>1.82</v>
      </c>
      <c r="I113" s="8">
        <f t="shared" si="6"/>
        <v>2.6015589600000002</v>
      </c>
      <c r="J113" s="9"/>
      <c r="K113" s="8">
        <f t="shared" si="9"/>
        <v>9.4044743881245711</v>
      </c>
      <c r="L113" s="8">
        <f t="shared" si="7"/>
        <v>4.7022371940622856</v>
      </c>
    </row>
    <row r="114" spans="1:12" x14ac:dyDescent="0.25">
      <c r="A114" s="1">
        <v>113</v>
      </c>
      <c r="B114" s="1">
        <v>5</v>
      </c>
      <c r="C114" s="3" t="s">
        <v>49</v>
      </c>
      <c r="D114" s="5" t="s">
        <v>23</v>
      </c>
      <c r="E114" s="10">
        <v>1.57</v>
      </c>
      <c r="F114" s="10">
        <v>7.97</v>
      </c>
      <c r="G114" s="10">
        <v>3.49</v>
      </c>
      <c r="H114" s="10">
        <v>1.83</v>
      </c>
      <c r="I114" s="8">
        <f t="shared" si="6"/>
        <v>2.6302260600000005</v>
      </c>
      <c r="J114" s="9"/>
      <c r="K114" s="8">
        <f t="shared" si="9"/>
        <v>3.7066460259814242</v>
      </c>
      <c r="L114" s="8">
        <f t="shared" si="7"/>
        <v>1.8533230129907121</v>
      </c>
    </row>
    <row r="115" spans="1:12" x14ac:dyDescent="0.25">
      <c r="A115" s="1">
        <v>114</v>
      </c>
      <c r="B115" s="1">
        <v>6</v>
      </c>
      <c r="C115" s="3" t="s">
        <v>49</v>
      </c>
      <c r="D115" s="5" t="s">
        <v>23</v>
      </c>
      <c r="E115" s="10">
        <v>2.2200000000000002</v>
      </c>
      <c r="F115" s="10">
        <v>10.16</v>
      </c>
      <c r="G115" s="10">
        <v>6.63</v>
      </c>
      <c r="H115" s="10">
        <v>1.81</v>
      </c>
      <c r="I115" s="8">
        <f t="shared" si="6"/>
        <v>2.5730489400000001</v>
      </c>
      <c r="J115" s="9"/>
      <c r="K115" s="8">
        <f t="shared" si="9"/>
        <v>13.933300750687327</v>
      </c>
      <c r="L115" s="8">
        <f t="shared" si="7"/>
        <v>6.9666503753436633</v>
      </c>
    </row>
    <row r="116" spans="1:12" x14ac:dyDescent="0.25">
      <c r="A116" s="1">
        <v>115</v>
      </c>
      <c r="B116" s="1">
        <v>7</v>
      </c>
      <c r="C116" s="3" t="s">
        <v>49</v>
      </c>
      <c r="D116" s="5" t="s">
        <v>23</v>
      </c>
      <c r="E116" s="10">
        <v>1.76</v>
      </c>
      <c r="F116" s="10">
        <v>11.54</v>
      </c>
      <c r="G116" s="10">
        <v>3.47</v>
      </c>
      <c r="H116" s="10">
        <v>1.9</v>
      </c>
      <c r="I116" s="8">
        <f t="shared" si="6"/>
        <v>2.8352939999999998</v>
      </c>
      <c r="J116" s="9"/>
      <c r="K116" s="8">
        <f t="shared" si="9"/>
        <v>3.6629476918821671</v>
      </c>
      <c r="L116" s="8">
        <f t="shared" si="7"/>
        <v>1.8314738459410835</v>
      </c>
    </row>
    <row r="117" spans="1:12" x14ac:dyDescent="0.25">
      <c r="A117" s="1">
        <v>116</v>
      </c>
      <c r="B117" s="1">
        <v>8</v>
      </c>
      <c r="C117" s="3" t="s">
        <v>49</v>
      </c>
      <c r="D117" s="5" t="s">
        <v>23</v>
      </c>
      <c r="E117" s="10">
        <v>1.79</v>
      </c>
      <c r="F117" s="10">
        <v>11.48</v>
      </c>
      <c r="G117" s="10">
        <v>8.6</v>
      </c>
      <c r="H117" s="10">
        <v>1.92</v>
      </c>
      <c r="I117" s="8">
        <f t="shared" si="6"/>
        <v>2.8952985600000001</v>
      </c>
      <c r="J117" s="9"/>
      <c r="K117" s="8">
        <f t="shared" si="9"/>
        <v>23.834080384772633</v>
      </c>
      <c r="L117" s="8">
        <f t="shared" si="7"/>
        <v>11.917040192386317</v>
      </c>
    </row>
    <row r="118" spans="1:12" x14ac:dyDescent="0.25">
      <c r="A118" s="1">
        <v>117</v>
      </c>
      <c r="B118" s="1">
        <v>9</v>
      </c>
      <c r="C118" s="3" t="s">
        <v>49</v>
      </c>
      <c r="D118" s="5" t="s">
        <v>23</v>
      </c>
      <c r="E118" s="10">
        <v>1.93</v>
      </c>
      <c r="F118" s="10">
        <v>8.16</v>
      </c>
      <c r="G118" s="10">
        <v>4.6399999999999997</v>
      </c>
      <c r="H118" s="10">
        <v>1.73</v>
      </c>
      <c r="I118" s="8">
        <f t="shared" si="6"/>
        <v>2.3506236600000001</v>
      </c>
      <c r="J118" s="9"/>
      <c r="K118" s="8">
        <f t="shared" si="9"/>
        <v>6.6714571121496684</v>
      </c>
      <c r="L118" s="8">
        <f t="shared" si="7"/>
        <v>3.3357285560748342</v>
      </c>
    </row>
    <row r="119" spans="1:12" x14ac:dyDescent="0.25">
      <c r="A119" s="1">
        <v>118</v>
      </c>
      <c r="B119" s="1">
        <v>10</v>
      </c>
      <c r="C119" s="3" t="s">
        <v>49</v>
      </c>
      <c r="D119" s="5" t="s">
        <v>23</v>
      </c>
      <c r="E119" s="10">
        <v>1.1399999999999999</v>
      </c>
      <c r="F119" s="10">
        <v>5.79</v>
      </c>
      <c r="G119" s="10">
        <f>F119-2</f>
        <v>3.79</v>
      </c>
      <c r="H119" s="10">
        <v>1.71</v>
      </c>
      <c r="I119" s="8">
        <f t="shared" si="6"/>
        <v>2.2965881399999999</v>
      </c>
      <c r="J119" s="9"/>
      <c r="K119" s="8">
        <f t="shared" si="9"/>
        <v>4.3942307146486117</v>
      </c>
      <c r="L119" s="8">
        <f t="shared" si="7"/>
        <v>2.1971153573243059</v>
      </c>
    </row>
    <row r="120" spans="1:12" x14ac:dyDescent="0.25">
      <c r="A120" s="1">
        <v>119</v>
      </c>
      <c r="B120" s="1">
        <v>11</v>
      </c>
      <c r="C120" s="3" t="s">
        <v>49</v>
      </c>
      <c r="D120" s="5" t="s">
        <v>23</v>
      </c>
      <c r="E120" s="10">
        <v>1.84</v>
      </c>
      <c r="F120" s="10">
        <v>11.89</v>
      </c>
      <c r="G120" s="10">
        <v>9.16</v>
      </c>
      <c r="H120" s="10">
        <v>1.78</v>
      </c>
      <c r="I120" s="8">
        <f t="shared" si="6"/>
        <v>2.4884613600000001</v>
      </c>
      <c r="J120" s="9"/>
      <c r="K120" s="8">
        <f t="shared" si="9"/>
        <v>27.147644629779368</v>
      </c>
      <c r="L120" s="8">
        <f t="shared" si="7"/>
        <v>13.573822314889684</v>
      </c>
    </row>
    <row r="121" spans="1:12" x14ac:dyDescent="0.25">
      <c r="A121" s="1">
        <v>120</v>
      </c>
      <c r="B121" s="1">
        <v>12</v>
      </c>
      <c r="C121" s="3" t="s">
        <v>49</v>
      </c>
      <c r="D121" s="5" t="s">
        <v>23</v>
      </c>
      <c r="E121" s="10">
        <v>1.55</v>
      </c>
      <c r="F121" s="10">
        <v>10.87</v>
      </c>
      <c r="G121" s="10">
        <v>7.56</v>
      </c>
      <c r="H121" s="10">
        <v>2.0699999999999998</v>
      </c>
      <c r="I121" s="8">
        <f t="shared" si="6"/>
        <v>3.3653604599999993</v>
      </c>
      <c r="J121" s="9"/>
      <c r="K121" s="8">
        <f t="shared" si="9"/>
        <v>18.267981815450625</v>
      </c>
      <c r="L121" s="8">
        <f t="shared" si="7"/>
        <v>9.1339909077253125</v>
      </c>
    </row>
    <row r="122" spans="1:12" x14ac:dyDescent="0.25">
      <c r="A122" s="1">
        <v>121</v>
      </c>
      <c r="B122" s="1">
        <v>13</v>
      </c>
      <c r="C122" s="3" t="s">
        <v>49</v>
      </c>
      <c r="D122" s="5" t="s">
        <v>23</v>
      </c>
      <c r="E122" s="10">
        <v>2.2200000000000002</v>
      </c>
      <c r="F122" s="10">
        <v>5.87</v>
      </c>
      <c r="G122" s="10">
        <f>F122-2</f>
        <v>3.87</v>
      </c>
      <c r="H122" s="10">
        <v>2.08</v>
      </c>
      <c r="I122" s="8">
        <f t="shared" si="6"/>
        <v>3.3979545600000005</v>
      </c>
      <c r="J122" s="9"/>
      <c r="K122" s="8">
        <f t="shared" si="9"/>
        <v>4.587778289999056</v>
      </c>
      <c r="L122" s="8">
        <f t="shared" si="7"/>
        <v>2.293889144999528</v>
      </c>
    </row>
    <row r="123" spans="1:12" x14ac:dyDescent="0.25">
      <c r="A123" s="1">
        <v>122</v>
      </c>
      <c r="B123" s="1">
        <v>14</v>
      </c>
      <c r="C123" s="3" t="s">
        <v>49</v>
      </c>
      <c r="D123" s="5" t="s">
        <v>23</v>
      </c>
      <c r="E123" s="10">
        <v>1.6</v>
      </c>
      <c r="F123" s="10">
        <v>11.45</v>
      </c>
      <c r="G123" s="10">
        <v>5.27</v>
      </c>
      <c r="H123" s="10">
        <v>1.81</v>
      </c>
      <c r="I123" s="8">
        <f t="shared" si="6"/>
        <v>2.5730489400000001</v>
      </c>
      <c r="K123" s="8">
        <f t="shared" si="9"/>
        <v>8.6759501920459474</v>
      </c>
      <c r="L123" s="8">
        <f t="shared" si="7"/>
        <v>4.3379750960229737</v>
      </c>
    </row>
    <row r="124" spans="1:12" x14ac:dyDescent="0.25">
      <c r="A124" s="1">
        <v>123</v>
      </c>
      <c r="B124" s="1">
        <v>15</v>
      </c>
      <c r="C124" s="3" t="s">
        <v>49</v>
      </c>
      <c r="D124" s="5" t="s">
        <v>23</v>
      </c>
      <c r="E124" s="10">
        <v>2.1</v>
      </c>
      <c r="F124" s="10">
        <v>11.09</v>
      </c>
      <c r="G124" s="10">
        <v>5.33</v>
      </c>
      <c r="H124" s="10">
        <v>1.99</v>
      </c>
      <c r="I124" s="8">
        <f t="shared" si="6"/>
        <v>3.1102625399999999</v>
      </c>
      <c r="K124" s="8">
        <f t="shared" si="9"/>
        <v>8.881011684151245</v>
      </c>
      <c r="L124" s="8">
        <f t="shared" si="7"/>
        <v>4.4405058420756225</v>
      </c>
    </row>
    <row r="125" spans="1:12" x14ac:dyDescent="0.25">
      <c r="A125" s="1">
        <v>124</v>
      </c>
      <c r="B125" s="1">
        <v>16</v>
      </c>
      <c r="C125" s="3" t="s">
        <v>49</v>
      </c>
      <c r="D125" s="5" t="s">
        <v>23</v>
      </c>
      <c r="E125" s="10">
        <v>2.16</v>
      </c>
      <c r="F125" s="10">
        <v>8.6300000000000008</v>
      </c>
      <c r="G125" s="10">
        <v>7.69</v>
      </c>
      <c r="H125" s="10">
        <v>1.93</v>
      </c>
      <c r="I125" s="8">
        <f t="shared" si="6"/>
        <v>2.92553646</v>
      </c>
      <c r="K125" s="8">
        <f t="shared" si="9"/>
        <v>18.922122415074686</v>
      </c>
      <c r="L125" s="8">
        <f t="shared" si="7"/>
        <v>9.4610612075373428</v>
      </c>
    </row>
    <row r="126" spans="1:12" x14ac:dyDescent="0.25">
      <c r="A126" s="1">
        <v>125</v>
      </c>
      <c r="B126" s="1">
        <v>17</v>
      </c>
      <c r="C126" s="3" t="s">
        <v>49</v>
      </c>
      <c r="D126" s="5" t="s">
        <v>23</v>
      </c>
      <c r="E126" s="10">
        <v>1.3</v>
      </c>
      <c r="F126" s="10">
        <v>9.14</v>
      </c>
      <c r="G126" s="10">
        <f>F126-2</f>
        <v>7.1400000000000006</v>
      </c>
      <c r="H126" s="10">
        <v>2.0499999999999998</v>
      </c>
      <c r="I126" s="8">
        <f t="shared" si="6"/>
        <v>3.3006434999999996</v>
      </c>
      <c r="K126" s="8">
        <f t="shared" si="9"/>
        <v>16.235553742706394</v>
      </c>
      <c r="L126" s="8">
        <f t="shared" si="7"/>
        <v>8.1177768713531968</v>
      </c>
    </row>
    <row r="127" spans="1:12" x14ac:dyDescent="0.25">
      <c r="A127" s="1">
        <v>126</v>
      </c>
      <c r="B127" s="1">
        <v>18</v>
      </c>
      <c r="C127" s="3" t="s">
        <v>49</v>
      </c>
      <c r="D127" s="5" t="s">
        <v>23</v>
      </c>
      <c r="E127" s="10">
        <v>1.1299999999999999</v>
      </c>
      <c r="F127" s="10">
        <v>7.79</v>
      </c>
      <c r="G127" s="10">
        <f>F127-2</f>
        <v>5.79</v>
      </c>
      <c r="H127" s="10">
        <v>1.77</v>
      </c>
      <c r="I127" s="8">
        <f t="shared" si="6"/>
        <v>2.4605796600000001</v>
      </c>
      <c r="K127" s="8">
        <f t="shared" si="9"/>
        <v>10.535328016120291</v>
      </c>
      <c r="L127" s="8">
        <f t="shared" si="7"/>
        <v>5.2676640080601453</v>
      </c>
    </row>
    <row r="128" spans="1:12" x14ac:dyDescent="0.25">
      <c r="A128" s="1">
        <v>127</v>
      </c>
      <c r="B128" s="1">
        <v>19</v>
      </c>
      <c r="C128" s="3" t="s">
        <v>49</v>
      </c>
      <c r="D128" s="5" t="s">
        <v>23</v>
      </c>
      <c r="E128" s="10">
        <v>1.53</v>
      </c>
      <c r="F128" s="10">
        <v>5.38</v>
      </c>
      <c r="G128" s="10">
        <f>F128-2</f>
        <v>3.38</v>
      </c>
      <c r="H128" s="10">
        <v>1.81</v>
      </c>
      <c r="I128" s="8">
        <f t="shared" si="6"/>
        <v>2.5730489400000001</v>
      </c>
      <c r="K128" s="8">
        <f t="shared" si="9"/>
        <v>3.469608368456687</v>
      </c>
      <c r="L128" s="8">
        <f t="shared" si="7"/>
        <v>1.7348041842283435</v>
      </c>
    </row>
    <row r="129" spans="1:12" x14ac:dyDescent="0.25">
      <c r="A129" s="1">
        <v>128</v>
      </c>
      <c r="B129" s="1">
        <v>20</v>
      </c>
      <c r="C129" s="3" t="s">
        <v>49</v>
      </c>
      <c r="D129" s="5" t="s">
        <v>23</v>
      </c>
      <c r="E129" s="10">
        <v>2.17</v>
      </c>
      <c r="F129" s="10">
        <v>7.35</v>
      </c>
      <c r="G129" s="10">
        <f>F129-2</f>
        <v>5.35</v>
      </c>
      <c r="H129" s="10">
        <v>2.02</v>
      </c>
      <c r="I129" s="8">
        <f t="shared" si="6"/>
        <v>3.20474616</v>
      </c>
      <c r="K129" s="8">
        <f t="shared" si="9"/>
        <v>8.9499142601004511</v>
      </c>
      <c r="L129" s="8">
        <f t="shared" si="7"/>
        <v>4.4749571300502256</v>
      </c>
    </row>
    <row r="130" spans="1:12" x14ac:dyDescent="0.25">
      <c r="A130" s="1">
        <v>129</v>
      </c>
      <c r="B130" s="1">
        <v>21</v>
      </c>
      <c r="C130" s="3" t="s">
        <v>49</v>
      </c>
      <c r="D130" s="5" t="s">
        <v>23</v>
      </c>
      <c r="E130" s="10">
        <v>1.1399999999999999</v>
      </c>
      <c r="F130" s="10">
        <v>10.62</v>
      </c>
      <c r="G130" s="10">
        <v>6.26</v>
      </c>
      <c r="H130" s="10">
        <v>1.68</v>
      </c>
      <c r="I130" s="8">
        <f t="shared" si="6"/>
        <v>2.2167129599999997</v>
      </c>
      <c r="K130" s="8">
        <f t="shared" si="9"/>
        <v>12.376332889647447</v>
      </c>
      <c r="L130" s="8">
        <f t="shared" si="7"/>
        <v>6.1881664448237235</v>
      </c>
    </row>
    <row r="131" spans="1:12" x14ac:dyDescent="0.25">
      <c r="A131" s="1">
        <v>130</v>
      </c>
      <c r="B131" s="1">
        <v>22</v>
      </c>
      <c r="C131" s="3" t="s">
        <v>49</v>
      </c>
      <c r="D131" s="5" t="s">
        <v>23</v>
      </c>
      <c r="E131" s="10">
        <v>1.1299999999999999</v>
      </c>
      <c r="F131" s="10">
        <v>5.03</v>
      </c>
      <c r="G131" s="10">
        <v>3.42</v>
      </c>
      <c r="H131" s="10">
        <v>1.87</v>
      </c>
      <c r="I131" s="8">
        <f t="shared" ref="I131:I194" si="10">0.7854*H131^2</f>
        <v>2.7464652600000004</v>
      </c>
      <c r="K131" s="8">
        <f t="shared" si="9"/>
        <v>3.5548699349452444</v>
      </c>
      <c r="L131" s="8">
        <f t="shared" ref="L131:L194" si="11">K131*0.5</f>
        <v>1.7774349674726222</v>
      </c>
    </row>
    <row r="132" spans="1:12" x14ac:dyDescent="0.25">
      <c r="A132" s="1">
        <v>131</v>
      </c>
      <c r="B132" s="1">
        <v>23</v>
      </c>
      <c r="C132" s="3" t="s">
        <v>49</v>
      </c>
      <c r="D132" s="5" t="s">
        <v>23</v>
      </c>
      <c r="E132" s="10">
        <v>2.2999999999999998</v>
      </c>
      <c r="F132" s="10">
        <v>7.33</v>
      </c>
      <c r="G132" s="10">
        <v>6.94</v>
      </c>
      <c r="H132" s="10">
        <v>1.9</v>
      </c>
      <c r="I132" s="8">
        <f t="shared" si="10"/>
        <v>2.8352939999999998</v>
      </c>
      <c r="K132" s="8">
        <f t="shared" si="9"/>
        <v>15.311090125814209</v>
      </c>
      <c r="L132" s="8">
        <f t="shared" si="11"/>
        <v>7.6555450629071045</v>
      </c>
    </row>
    <row r="133" spans="1:12" x14ac:dyDescent="0.25">
      <c r="A133" s="1">
        <v>132</v>
      </c>
      <c r="B133" s="1">
        <v>24</v>
      </c>
      <c r="C133" s="3" t="s">
        <v>49</v>
      </c>
      <c r="D133" s="5" t="s">
        <v>23</v>
      </c>
      <c r="E133" s="10">
        <v>1.56</v>
      </c>
      <c r="F133" s="10">
        <v>7.79</v>
      </c>
      <c r="G133" s="10">
        <f>F133-2</f>
        <v>5.79</v>
      </c>
      <c r="H133" s="10">
        <v>1.87</v>
      </c>
      <c r="I133" s="8">
        <f t="shared" si="10"/>
        <v>2.7464652600000004</v>
      </c>
      <c r="K133" s="8">
        <f t="shared" si="9"/>
        <v>10.535328016120291</v>
      </c>
      <c r="L133" s="8">
        <f t="shared" si="11"/>
        <v>5.2676640080601453</v>
      </c>
    </row>
    <row r="134" spans="1:12" x14ac:dyDescent="0.25">
      <c r="A134" s="1">
        <v>133</v>
      </c>
      <c r="B134" s="1">
        <v>25</v>
      </c>
      <c r="C134" s="3" t="s">
        <v>49</v>
      </c>
      <c r="D134" s="5" t="s">
        <v>23</v>
      </c>
      <c r="E134" s="10">
        <v>2.0099999999999998</v>
      </c>
      <c r="F134" s="10">
        <v>8.76</v>
      </c>
      <c r="G134" s="10">
        <v>4.2300000000000004</v>
      </c>
      <c r="H134" s="10">
        <v>1.9</v>
      </c>
      <c r="I134" s="8">
        <f t="shared" si="10"/>
        <v>2.8352939999999998</v>
      </c>
      <c r="K134" s="8">
        <f t="shared" si="9"/>
        <v>5.5120632665178961</v>
      </c>
      <c r="L134" s="8">
        <f t="shared" si="11"/>
        <v>2.7560316332589481</v>
      </c>
    </row>
    <row r="135" spans="1:12" x14ac:dyDescent="0.25">
      <c r="A135" s="1">
        <v>134</v>
      </c>
      <c r="B135" s="1">
        <v>26</v>
      </c>
      <c r="C135" s="3" t="s">
        <v>49</v>
      </c>
      <c r="D135" s="5" t="s">
        <v>23</v>
      </c>
      <c r="E135" s="10">
        <v>2.13</v>
      </c>
      <c r="F135" s="10">
        <v>11.44</v>
      </c>
      <c r="G135" s="10">
        <v>7.83</v>
      </c>
      <c r="H135" s="10">
        <v>2</v>
      </c>
      <c r="I135" s="8">
        <f t="shared" si="10"/>
        <v>3.1415999999999999</v>
      </c>
      <c r="K135" s="8">
        <f t="shared" si="9"/>
        <v>19.639853395697621</v>
      </c>
      <c r="L135" s="8">
        <f t="shared" si="11"/>
        <v>9.8199266978488104</v>
      </c>
    </row>
    <row r="136" spans="1:12" x14ac:dyDescent="0.25">
      <c r="A136" s="1">
        <v>135</v>
      </c>
      <c r="B136" s="1">
        <v>27</v>
      </c>
      <c r="C136" s="3" t="s">
        <v>49</v>
      </c>
      <c r="D136" s="5" t="s">
        <v>23</v>
      </c>
      <c r="E136" s="10">
        <v>1.8</v>
      </c>
      <c r="F136" s="10">
        <v>7.42</v>
      </c>
      <c r="G136" s="10">
        <v>4.41</v>
      </c>
      <c r="H136" s="10">
        <v>1.77</v>
      </c>
      <c r="I136" s="8">
        <f t="shared" si="10"/>
        <v>2.4605796600000001</v>
      </c>
      <c r="K136" s="8">
        <f t="shared" si="9"/>
        <v>6.0070310247962313</v>
      </c>
      <c r="L136" s="8">
        <f t="shared" si="11"/>
        <v>3.0035155123981156</v>
      </c>
    </row>
    <row r="137" spans="1:12" x14ac:dyDescent="0.25">
      <c r="A137" s="1">
        <v>136</v>
      </c>
      <c r="B137" s="1">
        <v>28</v>
      </c>
      <c r="C137" s="3" t="s">
        <v>49</v>
      </c>
      <c r="D137" s="5" t="s">
        <v>23</v>
      </c>
      <c r="E137" s="10">
        <v>2.21</v>
      </c>
      <c r="F137" s="10">
        <v>7.43</v>
      </c>
      <c r="G137" s="10">
        <v>6.75</v>
      </c>
      <c r="H137" s="10">
        <v>2.08</v>
      </c>
      <c r="I137" s="8">
        <f t="shared" si="10"/>
        <v>3.3979545600000005</v>
      </c>
      <c r="K137" s="8">
        <f t="shared" si="9"/>
        <v>14.458697805914014</v>
      </c>
      <c r="L137" s="8">
        <f t="shared" si="11"/>
        <v>7.2293489029570068</v>
      </c>
    </row>
    <row r="138" spans="1:12" x14ac:dyDescent="0.25">
      <c r="A138" s="1">
        <v>137</v>
      </c>
      <c r="B138" s="1">
        <v>29</v>
      </c>
      <c r="C138" s="3" t="s">
        <v>49</v>
      </c>
      <c r="D138" s="5" t="s">
        <v>23</v>
      </c>
      <c r="E138" s="10">
        <v>2.3199999999999998</v>
      </c>
      <c r="F138" s="10">
        <v>10.16</v>
      </c>
      <c r="G138" s="10">
        <v>3.68</v>
      </c>
      <c r="H138" s="10">
        <v>1.73</v>
      </c>
      <c r="I138" s="8">
        <f t="shared" si="10"/>
        <v>2.3506236600000001</v>
      </c>
      <c r="K138" s="8">
        <f t="shared" si="9"/>
        <v>4.135117165147614</v>
      </c>
      <c r="L138" s="8">
        <f t="shared" si="11"/>
        <v>2.067558582573807</v>
      </c>
    </row>
    <row r="139" spans="1:12" x14ac:dyDescent="0.25">
      <c r="A139" s="1">
        <v>138</v>
      </c>
      <c r="B139" s="1">
        <v>30</v>
      </c>
      <c r="C139" s="3" t="s">
        <v>49</v>
      </c>
      <c r="D139" s="5" t="s">
        <v>23</v>
      </c>
      <c r="E139" s="10">
        <v>1.31</v>
      </c>
      <c r="F139" s="10">
        <v>8.17</v>
      </c>
      <c r="G139" s="10">
        <v>6.15</v>
      </c>
      <c r="H139" s="10">
        <v>1.89</v>
      </c>
      <c r="I139" s="8">
        <f t="shared" si="10"/>
        <v>2.8055273399999998</v>
      </c>
      <c r="K139" s="8">
        <f t="shared" si="9"/>
        <v>11.931763785848714</v>
      </c>
      <c r="L139" s="8">
        <f t="shared" si="11"/>
        <v>5.9658818929243571</v>
      </c>
    </row>
    <row r="140" spans="1:12" x14ac:dyDescent="0.25">
      <c r="A140" s="1">
        <v>139</v>
      </c>
      <c r="B140" s="1">
        <v>31</v>
      </c>
      <c r="C140" s="3" t="s">
        <v>49</v>
      </c>
      <c r="D140" s="5" t="s">
        <v>23</v>
      </c>
      <c r="E140" s="10">
        <v>1.72</v>
      </c>
      <c r="F140" s="10">
        <v>6.57</v>
      </c>
      <c r="G140" s="10">
        <f>F140-2</f>
        <v>4.57</v>
      </c>
      <c r="H140" s="10">
        <v>1.98</v>
      </c>
      <c r="I140" s="8">
        <f t="shared" si="10"/>
        <v>3.07908216</v>
      </c>
      <c r="K140" s="8">
        <f t="shared" si="9"/>
        <v>6.4654375985301122</v>
      </c>
      <c r="L140" s="8">
        <f t="shared" si="11"/>
        <v>3.2327187992650561</v>
      </c>
    </row>
    <row r="141" spans="1:12" x14ac:dyDescent="0.25">
      <c r="A141" s="1">
        <v>140</v>
      </c>
      <c r="B141" s="1">
        <v>32</v>
      </c>
      <c r="C141" s="3" t="s">
        <v>49</v>
      </c>
      <c r="D141" s="5" t="s">
        <v>23</v>
      </c>
      <c r="E141" s="10">
        <v>2.34</v>
      </c>
      <c r="F141" s="10">
        <v>8.17</v>
      </c>
      <c r="G141" s="10">
        <v>5.43</v>
      </c>
      <c r="H141" s="10">
        <v>1.69</v>
      </c>
      <c r="I141" s="8">
        <f t="shared" si="10"/>
        <v>2.2431809399999998</v>
      </c>
      <c r="K141" s="8">
        <f t="shared" si="9"/>
        <v>9.2282700292212017</v>
      </c>
      <c r="L141" s="8">
        <f t="shared" si="11"/>
        <v>4.6141350146106008</v>
      </c>
    </row>
    <row r="142" spans="1:12" x14ac:dyDescent="0.25">
      <c r="A142" s="1">
        <v>141</v>
      </c>
      <c r="B142" s="1">
        <v>33</v>
      </c>
      <c r="C142" s="3" t="s">
        <v>49</v>
      </c>
      <c r="D142" s="5" t="s">
        <v>23</v>
      </c>
      <c r="E142" s="10">
        <v>1.65</v>
      </c>
      <c r="F142" s="10">
        <v>5.99</v>
      </c>
      <c r="G142" s="10">
        <f>F142-2</f>
        <v>3.99</v>
      </c>
      <c r="H142" s="10">
        <v>1.87</v>
      </c>
      <c r="I142" s="8">
        <f t="shared" si="10"/>
        <v>2.7464652600000004</v>
      </c>
      <c r="K142" s="8">
        <f t="shared" si="9"/>
        <v>4.8861682330583314</v>
      </c>
      <c r="L142" s="8">
        <f t="shared" si="11"/>
        <v>2.4430841165291657</v>
      </c>
    </row>
    <row r="143" spans="1:12" x14ac:dyDescent="0.25">
      <c r="A143" s="1">
        <v>142</v>
      </c>
      <c r="B143" s="1">
        <v>34</v>
      </c>
      <c r="C143" s="3" t="s">
        <v>49</v>
      </c>
      <c r="D143" s="5" t="s">
        <v>23</v>
      </c>
      <c r="E143" s="10">
        <v>2.1</v>
      </c>
      <c r="F143" s="10">
        <v>6.23</v>
      </c>
      <c r="G143" s="10">
        <f>F143-2</f>
        <v>4.2300000000000004</v>
      </c>
      <c r="H143" s="10">
        <v>1.89</v>
      </c>
      <c r="I143" s="8">
        <f t="shared" si="10"/>
        <v>2.8055273399999998</v>
      </c>
      <c r="K143" s="8">
        <f t="shared" si="9"/>
        <v>5.5120632665178961</v>
      </c>
      <c r="L143" s="8">
        <f t="shared" si="11"/>
        <v>2.7560316332589481</v>
      </c>
    </row>
    <row r="144" spans="1:12" x14ac:dyDescent="0.25">
      <c r="A144" s="1">
        <v>143</v>
      </c>
      <c r="B144" s="1">
        <v>35</v>
      </c>
      <c r="C144" s="3" t="s">
        <v>49</v>
      </c>
      <c r="D144" s="5" t="s">
        <v>23</v>
      </c>
      <c r="E144" s="10">
        <v>2.3199999999999998</v>
      </c>
      <c r="F144" s="10">
        <v>8.49</v>
      </c>
      <c r="G144" s="10">
        <f>F144-2</f>
        <v>6.49</v>
      </c>
      <c r="H144" s="10">
        <v>1.91</v>
      </c>
      <c r="I144" s="8">
        <f t="shared" si="10"/>
        <v>2.8652177399999998</v>
      </c>
      <c r="K144" s="8">
        <f t="shared" si="9"/>
        <v>13.33299687913826</v>
      </c>
      <c r="L144" s="8">
        <f t="shared" si="11"/>
        <v>6.6664984395691302</v>
      </c>
    </row>
    <row r="145" spans="1:12" x14ac:dyDescent="0.25">
      <c r="A145" s="1">
        <v>144</v>
      </c>
      <c r="B145" s="1">
        <v>36</v>
      </c>
      <c r="C145" s="3" t="s">
        <v>49</v>
      </c>
      <c r="D145" s="5" t="s">
        <v>23</v>
      </c>
      <c r="E145" s="10">
        <v>1.32</v>
      </c>
      <c r="F145" s="10">
        <v>7.93</v>
      </c>
      <c r="G145" s="10">
        <v>4.6399999999999997</v>
      </c>
      <c r="H145" s="10">
        <v>2.0099999999999998</v>
      </c>
      <c r="I145" s="8">
        <f t="shared" si="10"/>
        <v>3.1730945399999992</v>
      </c>
      <c r="K145" s="8">
        <f t="shared" si="9"/>
        <v>6.6714571121496684</v>
      </c>
      <c r="L145" s="8">
        <f t="shared" si="11"/>
        <v>3.3357285560748342</v>
      </c>
    </row>
    <row r="146" spans="1:12" x14ac:dyDescent="0.25">
      <c r="A146" s="1">
        <v>145</v>
      </c>
      <c r="B146" s="1">
        <v>37</v>
      </c>
      <c r="C146" s="3" t="s">
        <v>49</v>
      </c>
      <c r="D146" s="5" t="s">
        <v>23</v>
      </c>
      <c r="E146" s="10">
        <v>2.21</v>
      </c>
      <c r="F146" s="10">
        <v>11.4</v>
      </c>
      <c r="G146" s="10">
        <v>5.8</v>
      </c>
      <c r="H146" s="10">
        <v>1.81</v>
      </c>
      <c r="I146" s="8">
        <f t="shared" si="10"/>
        <v>2.5730489400000001</v>
      </c>
      <c r="K146" s="8">
        <f t="shared" si="9"/>
        <v>10.572909390299325</v>
      </c>
      <c r="L146" s="8">
        <f t="shared" si="11"/>
        <v>5.2864546951496623</v>
      </c>
    </row>
    <row r="147" spans="1:12" x14ac:dyDescent="0.25">
      <c r="A147" s="1">
        <v>146</v>
      </c>
      <c r="B147" s="1">
        <v>38</v>
      </c>
      <c r="C147" s="3" t="s">
        <v>49</v>
      </c>
      <c r="D147" s="5" t="s">
        <v>23</v>
      </c>
      <c r="E147" s="10">
        <v>1.78</v>
      </c>
      <c r="F147" s="10">
        <v>7.54</v>
      </c>
      <c r="G147" s="10">
        <v>4.07</v>
      </c>
      <c r="H147" s="10">
        <v>1.79</v>
      </c>
      <c r="I147" s="8">
        <f t="shared" si="10"/>
        <v>2.5165001399999998</v>
      </c>
      <c r="K147" s="8">
        <f t="shared" si="9"/>
        <v>5.0904820343316572</v>
      </c>
      <c r="L147" s="8">
        <f t="shared" si="11"/>
        <v>2.5452410171658286</v>
      </c>
    </row>
    <row r="148" spans="1:12" x14ac:dyDescent="0.25">
      <c r="A148" s="1">
        <v>147</v>
      </c>
      <c r="B148" s="1">
        <v>39</v>
      </c>
      <c r="C148" s="3" t="s">
        <v>49</v>
      </c>
      <c r="D148" s="5" t="s">
        <v>23</v>
      </c>
      <c r="E148" s="10">
        <v>1.79</v>
      </c>
      <c r="F148" s="10">
        <v>9.06</v>
      </c>
      <c r="G148" s="10">
        <f>F148-2</f>
        <v>7.0600000000000005</v>
      </c>
      <c r="H148" s="10">
        <v>1.83</v>
      </c>
      <c r="I148" s="8">
        <f t="shared" si="10"/>
        <v>2.6302260600000005</v>
      </c>
      <c r="K148" s="8">
        <f t="shared" si="9"/>
        <v>15.862416399622118</v>
      </c>
      <c r="L148" s="8">
        <f t="shared" si="11"/>
        <v>7.9312081998110591</v>
      </c>
    </row>
    <row r="149" spans="1:12" x14ac:dyDescent="0.25">
      <c r="A149" s="1">
        <v>148</v>
      </c>
      <c r="B149" s="1">
        <v>40</v>
      </c>
      <c r="C149" s="3" t="s">
        <v>49</v>
      </c>
      <c r="D149" s="5" t="s">
        <v>23</v>
      </c>
      <c r="E149" s="10">
        <v>1.96</v>
      </c>
      <c r="F149" s="10">
        <v>9.43</v>
      </c>
      <c r="G149" s="10">
        <f>F149-2</f>
        <v>7.43</v>
      </c>
      <c r="H149" s="10">
        <v>2.09</v>
      </c>
      <c r="I149" s="8">
        <f t="shared" si="10"/>
        <v>3.4307057399999992</v>
      </c>
      <c r="K149" s="8">
        <f t="shared" si="9"/>
        <v>17.625695491298952</v>
      </c>
      <c r="L149" s="8">
        <f t="shared" si="11"/>
        <v>8.812847745649476</v>
      </c>
    </row>
    <row r="150" spans="1:12" x14ac:dyDescent="0.25">
      <c r="A150" s="1">
        <v>149</v>
      </c>
      <c r="B150" s="1">
        <v>41</v>
      </c>
      <c r="C150" s="3" t="s">
        <v>49</v>
      </c>
      <c r="D150" s="5" t="s">
        <v>23</v>
      </c>
      <c r="E150" s="10">
        <v>2.39</v>
      </c>
      <c r="F150" s="10">
        <v>5.09</v>
      </c>
      <c r="G150" s="10">
        <f>F150-2</f>
        <v>3.09</v>
      </c>
      <c r="H150" s="10">
        <v>1.73</v>
      </c>
      <c r="I150" s="8">
        <f t="shared" si="10"/>
        <v>2.3506236600000001</v>
      </c>
      <c r="K150" s="8">
        <f t="shared" si="9"/>
        <v>2.8833022302541975</v>
      </c>
      <c r="L150" s="8">
        <f t="shared" si="11"/>
        <v>1.4416511151270988</v>
      </c>
    </row>
    <row r="151" spans="1:12" x14ac:dyDescent="0.25">
      <c r="A151" s="1">
        <v>150</v>
      </c>
      <c r="B151" s="1">
        <v>42</v>
      </c>
      <c r="C151" s="3" t="s">
        <v>49</v>
      </c>
      <c r="D151" s="5" t="s">
        <v>23</v>
      </c>
      <c r="E151" s="10">
        <v>1.96</v>
      </c>
      <c r="F151" s="10">
        <v>9.64</v>
      </c>
      <c r="G151" s="10">
        <v>8.89</v>
      </c>
      <c r="H151" s="10">
        <v>1.97</v>
      </c>
      <c r="I151" s="8">
        <f t="shared" si="10"/>
        <v>3.0480588599999998</v>
      </c>
      <c r="K151" s="8">
        <f t="shared" si="9"/>
        <v>25.52228942916258</v>
      </c>
      <c r="L151" s="8">
        <f t="shared" si="11"/>
        <v>12.76114471458129</v>
      </c>
    </row>
    <row r="152" spans="1:12" x14ac:dyDescent="0.25">
      <c r="A152" s="1">
        <v>151</v>
      </c>
      <c r="B152" s="1">
        <v>43</v>
      </c>
      <c r="C152" s="3" t="s">
        <v>49</v>
      </c>
      <c r="D152" s="5" t="s">
        <v>23</v>
      </c>
      <c r="E152" s="10">
        <v>1.31</v>
      </c>
      <c r="F152" s="10">
        <v>6.25</v>
      </c>
      <c r="G152" s="10">
        <f>F152-2</f>
        <v>4.25</v>
      </c>
      <c r="H152" s="10">
        <v>2.0099999999999998</v>
      </c>
      <c r="I152" s="8">
        <f t="shared" si="10"/>
        <v>3.1730945399999992</v>
      </c>
      <c r="K152" s="8">
        <f t="shared" si="9"/>
        <v>5.5659769407540702</v>
      </c>
      <c r="L152" s="8">
        <f t="shared" si="11"/>
        <v>2.7829884703770351</v>
      </c>
    </row>
    <row r="153" spans="1:12" x14ac:dyDescent="0.25">
      <c r="A153" s="1">
        <v>152</v>
      </c>
      <c r="B153" s="1">
        <v>44</v>
      </c>
      <c r="C153" s="3" t="s">
        <v>49</v>
      </c>
      <c r="D153" s="5" t="s">
        <v>23</v>
      </c>
      <c r="E153" s="10">
        <v>1.34</v>
      </c>
      <c r="F153" s="10">
        <v>11.73</v>
      </c>
      <c r="G153" s="10">
        <v>7.37</v>
      </c>
      <c r="H153" s="10">
        <v>1.73</v>
      </c>
      <c r="I153" s="8">
        <f t="shared" si="10"/>
        <v>2.3506236600000001</v>
      </c>
      <c r="K153" s="8">
        <f t="shared" si="9"/>
        <v>17.333250233429752</v>
      </c>
      <c r="L153" s="8">
        <f t="shared" si="11"/>
        <v>8.6666251167148758</v>
      </c>
    </row>
    <row r="154" spans="1:12" x14ac:dyDescent="0.25">
      <c r="A154" s="1">
        <v>153</v>
      </c>
      <c r="B154" s="1">
        <v>45</v>
      </c>
      <c r="C154" s="3" t="s">
        <v>49</v>
      </c>
      <c r="D154" s="5" t="s">
        <v>23</v>
      </c>
      <c r="E154" s="10">
        <v>1.57</v>
      </c>
      <c r="F154" s="10">
        <v>6.04</v>
      </c>
      <c r="G154" s="10">
        <v>3.62</v>
      </c>
      <c r="H154" s="10">
        <v>1.71</v>
      </c>
      <c r="I154" s="8">
        <f t="shared" si="10"/>
        <v>2.2965881399999999</v>
      </c>
      <c r="K154" s="8">
        <f t="shared" si="9"/>
        <v>3.997200940305051</v>
      </c>
      <c r="L154" s="8">
        <f t="shared" si="11"/>
        <v>1.9986004701525255</v>
      </c>
    </row>
    <row r="155" spans="1:12" x14ac:dyDescent="0.25">
      <c r="A155" s="1">
        <v>154</v>
      </c>
      <c r="B155" s="1">
        <v>46</v>
      </c>
      <c r="C155" s="3" t="s">
        <v>49</v>
      </c>
      <c r="D155" s="5" t="s">
        <v>23</v>
      </c>
      <c r="E155" s="10">
        <v>2.27</v>
      </c>
      <c r="F155" s="10">
        <v>7.9</v>
      </c>
      <c r="G155" s="10">
        <f>F155-2</f>
        <v>5.9</v>
      </c>
      <c r="H155" s="10">
        <v>2.0499999999999998</v>
      </c>
      <c r="I155" s="8">
        <f t="shared" si="10"/>
        <v>3.3006434999999996</v>
      </c>
      <c r="K155" s="8">
        <f t="shared" si="9"/>
        <v>10.952517900021304</v>
      </c>
      <c r="L155" s="8">
        <f t="shared" si="11"/>
        <v>5.476258950010652</v>
      </c>
    </row>
    <row r="156" spans="1:12" x14ac:dyDescent="0.25">
      <c r="A156" s="1">
        <v>155</v>
      </c>
      <c r="B156" s="1">
        <v>47</v>
      </c>
      <c r="C156" s="3" t="s">
        <v>49</v>
      </c>
      <c r="D156" s="5" t="s">
        <v>23</v>
      </c>
      <c r="E156" s="10">
        <v>1.1399999999999999</v>
      </c>
      <c r="F156" s="10">
        <v>5.6</v>
      </c>
      <c r="G156" s="10">
        <v>3.89</v>
      </c>
      <c r="H156" s="10">
        <v>1.74</v>
      </c>
      <c r="I156" s="8">
        <f t="shared" si="10"/>
        <v>2.37787704</v>
      </c>
      <c r="K156" s="8">
        <f t="shared" si="9"/>
        <v>4.6368371991385482</v>
      </c>
      <c r="L156" s="8">
        <f t="shared" si="11"/>
        <v>2.3184185995692741</v>
      </c>
    </row>
    <row r="157" spans="1:12" x14ac:dyDescent="0.25">
      <c r="A157" s="1">
        <v>156</v>
      </c>
      <c r="B157" s="1">
        <v>48</v>
      </c>
      <c r="C157" s="3" t="s">
        <v>49</v>
      </c>
      <c r="D157" s="5" t="s">
        <v>23</v>
      </c>
      <c r="E157" s="10">
        <v>1.22</v>
      </c>
      <c r="F157" s="10">
        <v>11.98</v>
      </c>
      <c r="G157" s="10">
        <v>8.7799999999999994</v>
      </c>
      <c r="H157" s="10">
        <v>1.9</v>
      </c>
      <c r="I157" s="8">
        <f t="shared" si="10"/>
        <v>2.8352939999999998</v>
      </c>
      <c r="K157" s="8">
        <f t="shared" si="9"/>
        <v>24.87492495386325</v>
      </c>
      <c r="L157" s="8">
        <f t="shared" si="11"/>
        <v>12.437462476931625</v>
      </c>
    </row>
    <row r="158" spans="1:12" x14ac:dyDescent="0.25">
      <c r="A158" s="1">
        <v>157</v>
      </c>
      <c r="B158" s="1">
        <v>49</v>
      </c>
      <c r="C158" s="3" t="s">
        <v>49</v>
      </c>
      <c r="D158" s="5" t="s">
        <v>23</v>
      </c>
      <c r="E158" s="10">
        <v>1.97</v>
      </c>
      <c r="F158" s="10">
        <v>8.52</v>
      </c>
      <c r="G158" s="10">
        <f>F158-2</f>
        <v>6.52</v>
      </c>
      <c r="H158" s="10">
        <v>2.06</v>
      </c>
      <c r="I158" s="8">
        <f t="shared" si="10"/>
        <v>3.3329234399999996</v>
      </c>
      <c r="K158" s="8">
        <f t="shared" si="9"/>
        <v>13.46048658056659</v>
      </c>
      <c r="L158" s="8">
        <f t="shared" si="11"/>
        <v>6.7302432902832949</v>
      </c>
    </row>
    <row r="159" spans="1:12" x14ac:dyDescent="0.25">
      <c r="A159" s="1">
        <v>158</v>
      </c>
      <c r="B159" s="1">
        <v>50</v>
      </c>
      <c r="C159" s="3" t="s">
        <v>49</v>
      </c>
      <c r="D159" s="5" t="s">
        <v>23</v>
      </c>
      <c r="E159" s="10">
        <v>1.62</v>
      </c>
      <c r="F159" s="10">
        <v>9.17</v>
      </c>
      <c r="G159" s="10">
        <v>7.96</v>
      </c>
      <c r="H159" s="10">
        <v>1.79</v>
      </c>
      <c r="I159" s="8">
        <f t="shared" si="10"/>
        <v>2.5165001399999998</v>
      </c>
      <c r="K159" s="8">
        <f t="shared" si="9"/>
        <v>20.31865521454721</v>
      </c>
      <c r="L159" s="8">
        <f t="shared" si="11"/>
        <v>10.159327607273605</v>
      </c>
    </row>
    <row r="160" spans="1:12" x14ac:dyDescent="0.25">
      <c r="A160" s="1">
        <v>159</v>
      </c>
      <c r="B160" s="1">
        <v>51</v>
      </c>
      <c r="C160" s="3" t="s">
        <v>49</v>
      </c>
      <c r="D160" s="5" t="s">
        <v>23</v>
      </c>
      <c r="E160" s="10">
        <v>2.06</v>
      </c>
      <c r="F160" s="10">
        <v>5.47</v>
      </c>
      <c r="G160" s="10">
        <v>3.25</v>
      </c>
      <c r="H160" s="10">
        <v>1.81</v>
      </c>
      <c r="I160" s="8">
        <f t="shared" si="10"/>
        <v>2.5730489400000001</v>
      </c>
      <c r="K160" s="8">
        <f t="shared" si="9"/>
        <v>3.1998687197350622</v>
      </c>
      <c r="L160" s="8">
        <f t="shared" si="11"/>
        <v>1.5999343598675311</v>
      </c>
    </row>
    <row r="161" spans="1:12" x14ac:dyDescent="0.25">
      <c r="A161" s="1">
        <v>160</v>
      </c>
      <c r="B161" s="1">
        <v>52</v>
      </c>
      <c r="C161" s="3" t="s">
        <v>49</v>
      </c>
      <c r="D161" s="5" t="s">
        <v>23</v>
      </c>
      <c r="E161" s="10">
        <v>1.82</v>
      </c>
      <c r="F161" s="10">
        <v>10.25</v>
      </c>
      <c r="G161" s="10">
        <v>5.12</v>
      </c>
      <c r="H161" s="10">
        <v>1.84</v>
      </c>
      <c r="I161" s="8">
        <f t="shared" si="10"/>
        <v>2.65905024</v>
      </c>
      <c r="K161" s="8">
        <f t="shared" si="9"/>
        <v>8.1740899044474382</v>
      </c>
      <c r="L161" s="8">
        <f t="shared" si="11"/>
        <v>4.0870449522237191</v>
      </c>
    </row>
    <row r="162" spans="1:12" x14ac:dyDescent="0.25">
      <c r="A162" s="1">
        <v>161</v>
      </c>
      <c r="B162" s="1">
        <v>53</v>
      </c>
      <c r="C162" s="3" t="s">
        <v>49</v>
      </c>
      <c r="D162" s="5" t="s">
        <v>23</v>
      </c>
      <c r="E162" s="10">
        <v>2.1800000000000002</v>
      </c>
      <c r="F162" s="10">
        <v>6.47</v>
      </c>
      <c r="G162" s="10">
        <v>4.84</v>
      </c>
      <c r="H162" s="10">
        <v>2.0499999999999998</v>
      </c>
      <c r="I162" s="8">
        <f t="shared" si="10"/>
        <v>3.3006434999999996</v>
      </c>
      <c r="K162" s="8">
        <f t="shared" si="9"/>
        <v>7.2784558060364803</v>
      </c>
      <c r="L162" s="8">
        <f t="shared" si="11"/>
        <v>3.6392279030182402</v>
      </c>
    </row>
    <row r="163" spans="1:12" x14ac:dyDescent="0.25">
      <c r="A163" s="1">
        <v>162</v>
      </c>
      <c r="B163" s="1">
        <v>54</v>
      </c>
      <c r="C163" s="3" t="s">
        <v>49</v>
      </c>
      <c r="D163" s="5" t="s">
        <v>23</v>
      </c>
      <c r="E163" s="10">
        <v>1.49</v>
      </c>
      <c r="F163" s="10">
        <v>11.29</v>
      </c>
      <c r="G163" s="10">
        <v>5.52</v>
      </c>
      <c r="H163" s="10">
        <v>2.02</v>
      </c>
      <c r="I163" s="8">
        <f t="shared" si="10"/>
        <v>3.20474616</v>
      </c>
      <c r="K163" s="8">
        <f t="shared" si="9"/>
        <v>9.5466748788309879</v>
      </c>
      <c r="L163" s="8">
        <f t="shared" si="11"/>
        <v>4.7733374394154939</v>
      </c>
    </row>
    <row r="164" spans="1:12" x14ac:dyDescent="0.25">
      <c r="A164" s="1">
        <v>163</v>
      </c>
      <c r="B164" s="1">
        <v>55</v>
      </c>
      <c r="C164" s="3" t="s">
        <v>49</v>
      </c>
      <c r="D164" s="5" t="s">
        <v>23</v>
      </c>
      <c r="E164" s="10">
        <v>2.09</v>
      </c>
      <c r="F164" s="10">
        <v>6.44</v>
      </c>
      <c r="G164" s="10">
        <v>3.61</v>
      </c>
      <c r="H164" s="10">
        <v>2.08</v>
      </c>
      <c r="I164" s="8">
        <f t="shared" si="10"/>
        <v>3.3979545600000005</v>
      </c>
      <c r="K164" s="8">
        <f t="shared" si="9"/>
        <v>3.9744492584101887</v>
      </c>
      <c r="L164" s="8">
        <f t="shared" si="11"/>
        <v>1.9872246292050944</v>
      </c>
    </row>
    <row r="165" spans="1:12" x14ac:dyDescent="0.25">
      <c r="A165" s="1">
        <v>164</v>
      </c>
      <c r="B165" s="1">
        <v>56</v>
      </c>
      <c r="C165" s="3" t="s">
        <v>49</v>
      </c>
      <c r="D165" s="5" t="s">
        <v>23</v>
      </c>
      <c r="E165" s="10">
        <v>1.96</v>
      </c>
      <c r="F165" s="10">
        <v>6.33</v>
      </c>
      <c r="G165" s="10">
        <f>F165-2</f>
        <v>4.33</v>
      </c>
      <c r="H165" s="10">
        <v>2.0499999999999998</v>
      </c>
      <c r="I165" s="8">
        <f t="shared" si="10"/>
        <v>3.3006434999999996</v>
      </c>
      <c r="K165" s="8">
        <f t="shared" si="9"/>
        <v>5.7843374311694014</v>
      </c>
      <c r="L165" s="8">
        <f t="shared" si="11"/>
        <v>2.8921687155847007</v>
      </c>
    </row>
    <row r="166" spans="1:12" x14ac:dyDescent="0.25">
      <c r="A166" s="1">
        <v>165</v>
      </c>
      <c r="B166" s="1">
        <v>57</v>
      </c>
      <c r="C166" s="3" t="s">
        <v>49</v>
      </c>
      <c r="D166" s="5" t="s">
        <v>23</v>
      </c>
      <c r="E166" s="10">
        <v>2.14</v>
      </c>
      <c r="F166" s="10">
        <v>5.26</v>
      </c>
      <c r="G166" s="10">
        <f>F166-2</f>
        <v>3.26</v>
      </c>
      <c r="H166" s="10">
        <v>1.96</v>
      </c>
      <c r="I166" s="8">
        <f t="shared" si="10"/>
        <v>3.0171926399999998</v>
      </c>
      <c r="K166" s="8">
        <f t="shared" si="9"/>
        <v>3.2202186680862033</v>
      </c>
      <c r="L166" s="8">
        <f t="shared" si="11"/>
        <v>1.6101093340431016</v>
      </c>
    </row>
    <row r="167" spans="1:12" x14ac:dyDescent="0.25">
      <c r="A167" s="1">
        <v>166</v>
      </c>
      <c r="B167" s="1">
        <v>58</v>
      </c>
      <c r="C167" s="3" t="s">
        <v>49</v>
      </c>
      <c r="D167" s="5" t="s">
        <v>23</v>
      </c>
      <c r="E167" s="10">
        <v>1.63</v>
      </c>
      <c r="F167" s="10">
        <v>8.3000000000000007</v>
      </c>
      <c r="G167" s="10">
        <v>5.14</v>
      </c>
      <c r="H167" s="10">
        <v>1.97</v>
      </c>
      <c r="I167" s="8">
        <f t="shared" si="10"/>
        <v>3.0480588599999998</v>
      </c>
      <c r="K167" s="8">
        <f t="shared" si="9"/>
        <v>8.2401144089858835</v>
      </c>
      <c r="L167" s="8">
        <f t="shared" si="11"/>
        <v>4.1200572044929418</v>
      </c>
    </row>
    <row r="168" spans="1:12" x14ac:dyDescent="0.25">
      <c r="A168" s="1">
        <v>167</v>
      </c>
      <c r="B168" s="1">
        <v>59</v>
      </c>
      <c r="C168" s="3" t="s">
        <v>49</v>
      </c>
      <c r="D168" s="5" t="s">
        <v>23</v>
      </c>
      <c r="E168" s="10">
        <v>1.41</v>
      </c>
      <c r="F168" s="10">
        <v>8.9499999999999993</v>
      </c>
      <c r="G168" s="10">
        <v>5.78</v>
      </c>
      <c r="H168" s="10">
        <v>2.0499999999999998</v>
      </c>
      <c r="I168" s="8">
        <f t="shared" si="10"/>
        <v>3.3006434999999996</v>
      </c>
      <c r="K168" s="8">
        <f t="shared" si="9"/>
        <v>10.49781560760105</v>
      </c>
      <c r="L168" s="8">
        <f t="shared" si="11"/>
        <v>5.2489078038005248</v>
      </c>
    </row>
    <row r="169" spans="1:12" x14ac:dyDescent="0.25">
      <c r="A169" s="1">
        <v>168</v>
      </c>
      <c r="B169" s="1">
        <v>60</v>
      </c>
      <c r="C169" s="3" t="s">
        <v>49</v>
      </c>
      <c r="D169" s="5" t="s">
        <v>23</v>
      </c>
      <c r="E169" s="10">
        <v>1.39</v>
      </c>
      <c r="F169" s="10">
        <v>5.46</v>
      </c>
      <c r="G169" s="10">
        <f>F169-2</f>
        <v>3.46</v>
      </c>
      <c r="H169" s="10">
        <v>1.95</v>
      </c>
      <c r="I169" s="8">
        <f t="shared" si="10"/>
        <v>2.9864834999999998</v>
      </c>
      <c r="K169" s="8">
        <f t="shared" si="9"/>
        <v>3.64119867033064</v>
      </c>
      <c r="L169" s="8">
        <f t="shared" si="11"/>
        <v>1.82059933516532</v>
      </c>
    </row>
    <row r="170" spans="1:12" x14ac:dyDescent="0.25">
      <c r="A170" s="1">
        <v>169</v>
      </c>
      <c r="B170" s="1">
        <v>61</v>
      </c>
      <c r="C170" s="3" t="s">
        <v>49</v>
      </c>
      <c r="D170" s="5" t="s">
        <v>23</v>
      </c>
      <c r="E170" s="10">
        <v>1.81</v>
      </c>
      <c r="F170" s="10">
        <v>10.43</v>
      </c>
      <c r="G170" s="10">
        <v>7.2</v>
      </c>
      <c r="H170" s="10">
        <v>1.69</v>
      </c>
      <c r="I170" s="8">
        <f t="shared" si="10"/>
        <v>2.2431809399999998</v>
      </c>
      <c r="K170" s="8">
        <f t="shared" si="9"/>
        <v>16.518341938333428</v>
      </c>
      <c r="L170" s="8">
        <f t="shared" si="11"/>
        <v>8.2591709691667141</v>
      </c>
    </row>
    <row r="171" spans="1:12" x14ac:dyDescent="0.25">
      <c r="A171" s="1">
        <v>170</v>
      </c>
      <c r="B171" s="1">
        <v>62</v>
      </c>
      <c r="C171" s="3" t="s">
        <v>49</v>
      </c>
      <c r="D171" s="5" t="s">
        <v>23</v>
      </c>
      <c r="E171" s="10">
        <v>1.53</v>
      </c>
      <c r="F171" s="10">
        <v>8.17</v>
      </c>
      <c r="G171" s="10">
        <v>6.61</v>
      </c>
      <c r="H171" s="10">
        <v>1.81</v>
      </c>
      <c r="I171" s="8">
        <f t="shared" si="10"/>
        <v>2.5730489400000001</v>
      </c>
      <c r="K171" s="8">
        <f t="shared" si="9"/>
        <v>13.846708745338528</v>
      </c>
      <c r="L171" s="8">
        <f t="shared" si="11"/>
        <v>6.9233543726692641</v>
      </c>
    </row>
    <row r="172" spans="1:12" x14ac:dyDescent="0.25">
      <c r="A172" s="1">
        <v>171</v>
      </c>
      <c r="B172" s="1">
        <v>63</v>
      </c>
      <c r="C172" s="3" t="s">
        <v>49</v>
      </c>
      <c r="D172" s="5" t="s">
        <v>23</v>
      </c>
      <c r="E172" s="10">
        <v>1.33</v>
      </c>
      <c r="F172" s="10">
        <v>8.67</v>
      </c>
      <c r="G172" s="10">
        <f>F172-2</f>
        <v>6.67</v>
      </c>
      <c r="H172" s="10">
        <v>1.77</v>
      </c>
      <c r="I172" s="8">
        <f t="shared" si="10"/>
        <v>2.4605796600000001</v>
      </c>
      <c r="K172" s="8">
        <f t="shared" si="9"/>
        <v>14.107319552539892</v>
      </c>
      <c r="L172" s="8">
        <f t="shared" si="11"/>
        <v>7.0536597762699458</v>
      </c>
    </row>
    <row r="173" spans="1:12" x14ac:dyDescent="0.25">
      <c r="A173" s="1">
        <v>172</v>
      </c>
      <c r="B173" s="1">
        <v>64</v>
      </c>
      <c r="C173" s="3" t="s">
        <v>49</v>
      </c>
      <c r="D173" s="5" t="s">
        <v>23</v>
      </c>
      <c r="E173" s="10">
        <v>1.94</v>
      </c>
      <c r="F173" s="10">
        <v>8.09</v>
      </c>
      <c r="G173" s="10">
        <v>6.48</v>
      </c>
      <c r="H173" s="10">
        <v>1.71</v>
      </c>
      <c r="I173" s="8">
        <f t="shared" si="10"/>
        <v>2.2965881399999999</v>
      </c>
      <c r="K173" s="8">
        <f t="shared" si="9"/>
        <v>13.290639255624786</v>
      </c>
      <c r="L173" s="8">
        <f t="shared" si="11"/>
        <v>6.6453196278123929</v>
      </c>
    </row>
    <row r="174" spans="1:12" x14ac:dyDescent="0.25">
      <c r="A174" s="1">
        <v>173</v>
      </c>
      <c r="B174" s="1">
        <v>65</v>
      </c>
      <c r="C174" s="3" t="s">
        <v>49</v>
      </c>
      <c r="D174" s="5" t="s">
        <v>23</v>
      </c>
      <c r="E174" s="10">
        <v>2.27</v>
      </c>
      <c r="F174" s="10">
        <v>7.81</v>
      </c>
      <c r="G174" s="10">
        <f>F174-2</f>
        <v>5.81</v>
      </c>
      <c r="H174" s="10">
        <v>1.7</v>
      </c>
      <c r="I174" s="8">
        <f t="shared" si="10"/>
        <v>2.2698059999999995</v>
      </c>
      <c r="K174" s="8">
        <f t="shared" si="9"/>
        <v>10.610559737695631</v>
      </c>
      <c r="L174" s="8">
        <f t="shared" si="11"/>
        <v>5.3052798688478155</v>
      </c>
    </row>
    <row r="175" spans="1:12" x14ac:dyDescent="0.25">
      <c r="A175" s="1">
        <v>174</v>
      </c>
      <c r="B175" s="1">
        <v>66</v>
      </c>
      <c r="C175" s="3" t="s">
        <v>49</v>
      </c>
      <c r="D175" s="5" t="s">
        <v>23</v>
      </c>
      <c r="E175" s="10">
        <v>2.0699999999999998</v>
      </c>
      <c r="F175" s="10">
        <v>8.92</v>
      </c>
      <c r="G175" s="10">
        <f>F175-2</f>
        <v>6.92</v>
      </c>
      <c r="H175" s="10">
        <v>1.91</v>
      </c>
      <c r="I175" s="8">
        <f t="shared" si="10"/>
        <v>2.8652177399999998</v>
      </c>
      <c r="K175" s="8">
        <f t="shared" ref="K175:K238" si="12">0.2811*G175^2.0635</f>
        <v>15.22017940113701</v>
      </c>
      <c r="L175" s="8">
        <f t="shared" si="11"/>
        <v>7.6100897005685049</v>
      </c>
    </row>
    <row r="176" spans="1:12" x14ac:dyDescent="0.25">
      <c r="A176" s="1">
        <v>175</v>
      </c>
      <c r="B176" s="1">
        <v>67</v>
      </c>
      <c r="C176" s="3" t="s">
        <v>49</v>
      </c>
      <c r="D176" s="5" t="s">
        <v>23</v>
      </c>
      <c r="E176" s="10">
        <v>2.02</v>
      </c>
      <c r="F176" s="10">
        <v>6.09</v>
      </c>
      <c r="G176" s="10">
        <v>4.46</v>
      </c>
      <c r="H176" s="10">
        <v>2.1</v>
      </c>
      <c r="I176" s="8">
        <f t="shared" si="10"/>
        <v>3.4636140000000002</v>
      </c>
      <c r="K176" s="8">
        <f t="shared" si="12"/>
        <v>6.1484171680087494</v>
      </c>
      <c r="L176" s="8">
        <f t="shared" si="11"/>
        <v>3.0742085840043747</v>
      </c>
    </row>
    <row r="177" spans="1:12" x14ac:dyDescent="0.25">
      <c r="A177" s="1">
        <v>176</v>
      </c>
      <c r="B177" s="1">
        <v>68</v>
      </c>
      <c r="C177" s="3" t="s">
        <v>49</v>
      </c>
      <c r="D177" s="5" t="s">
        <v>23</v>
      </c>
      <c r="E177" s="10">
        <v>1.85</v>
      </c>
      <c r="F177" s="10">
        <v>6.27</v>
      </c>
      <c r="G177" s="10">
        <f>F177-2</f>
        <v>4.2699999999999996</v>
      </c>
      <c r="H177" s="10">
        <v>1.84</v>
      </c>
      <c r="I177" s="8">
        <f t="shared" si="10"/>
        <v>2.65905024</v>
      </c>
      <c r="K177" s="8">
        <f t="shared" si="12"/>
        <v>5.6201611138593677</v>
      </c>
      <c r="L177" s="8">
        <f t="shared" si="11"/>
        <v>2.8100805569296838</v>
      </c>
    </row>
    <row r="178" spans="1:12" x14ac:dyDescent="0.25">
      <c r="A178" s="1">
        <v>177</v>
      </c>
      <c r="B178" s="1">
        <v>69</v>
      </c>
      <c r="C178" s="3" t="s">
        <v>49</v>
      </c>
      <c r="D178" s="5" t="s">
        <v>23</v>
      </c>
      <c r="E178" s="10">
        <v>1.93</v>
      </c>
      <c r="F178" s="10">
        <v>11.03</v>
      </c>
      <c r="G178" s="10">
        <v>3.81</v>
      </c>
      <c r="H178" s="10">
        <v>1.9</v>
      </c>
      <c r="I178" s="8">
        <f t="shared" si="10"/>
        <v>2.8352939999999998</v>
      </c>
      <c r="K178" s="8">
        <f t="shared" si="12"/>
        <v>4.4422145770836661</v>
      </c>
      <c r="L178" s="8">
        <f t="shared" si="11"/>
        <v>2.221107288541833</v>
      </c>
    </row>
    <row r="179" spans="1:12" x14ac:dyDescent="0.25">
      <c r="A179" s="1">
        <v>178</v>
      </c>
      <c r="B179" s="1">
        <v>70</v>
      </c>
      <c r="C179" s="3" t="s">
        <v>49</v>
      </c>
      <c r="D179" s="5" t="s">
        <v>23</v>
      </c>
      <c r="E179" s="10">
        <v>2.2200000000000002</v>
      </c>
      <c r="F179" s="10">
        <v>11.62</v>
      </c>
      <c r="G179" s="10">
        <v>8.7200000000000006</v>
      </c>
      <c r="H179" s="10">
        <v>2.08</v>
      </c>
      <c r="I179" s="8">
        <f t="shared" si="10"/>
        <v>3.3979545600000005</v>
      </c>
      <c r="K179" s="8">
        <f t="shared" si="12"/>
        <v>24.525428968777277</v>
      </c>
      <c r="L179" s="8">
        <f t="shared" si="11"/>
        <v>12.262714484388638</v>
      </c>
    </row>
    <row r="180" spans="1:12" x14ac:dyDescent="0.25">
      <c r="A180" s="1">
        <v>179</v>
      </c>
      <c r="B180" s="1">
        <v>71</v>
      </c>
      <c r="C180" s="3" t="s">
        <v>49</v>
      </c>
      <c r="D180" s="5" t="s">
        <v>23</v>
      </c>
      <c r="E180" s="10">
        <v>2.15</v>
      </c>
      <c r="F180" s="10">
        <v>7.61</v>
      </c>
      <c r="G180" s="10">
        <v>5.66</v>
      </c>
      <c r="H180" s="10">
        <v>1.91</v>
      </c>
      <c r="I180" s="8">
        <f t="shared" si="10"/>
        <v>2.8652177399999998</v>
      </c>
      <c r="K180" s="8">
        <f t="shared" si="12"/>
        <v>10.053043259086071</v>
      </c>
      <c r="L180" s="8">
        <f t="shared" si="11"/>
        <v>5.0265216295430353</v>
      </c>
    </row>
    <row r="181" spans="1:12" x14ac:dyDescent="0.25">
      <c r="A181" s="1">
        <v>180</v>
      </c>
      <c r="B181" s="1">
        <v>72</v>
      </c>
      <c r="C181" s="3" t="s">
        <v>49</v>
      </c>
      <c r="D181" s="5" t="s">
        <v>23</v>
      </c>
      <c r="E181" s="10">
        <v>1.84</v>
      </c>
      <c r="F181" s="10">
        <v>6.9</v>
      </c>
      <c r="G181" s="10">
        <f>F181-2</f>
        <v>4.9000000000000004</v>
      </c>
      <c r="H181" s="10">
        <v>2.0099999999999998</v>
      </c>
      <c r="I181" s="8">
        <f t="shared" si="10"/>
        <v>3.1730945399999992</v>
      </c>
      <c r="K181" s="8">
        <f t="shared" si="12"/>
        <v>7.4658705720093703</v>
      </c>
      <c r="L181" s="8">
        <f t="shared" si="11"/>
        <v>3.7329352860046852</v>
      </c>
    </row>
    <row r="182" spans="1:12" x14ac:dyDescent="0.25">
      <c r="A182" s="1">
        <v>181</v>
      </c>
      <c r="B182" s="1">
        <v>73</v>
      </c>
      <c r="C182" s="3" t="s">
        <v>49</v>
      </c>
      <c r="D182" s="5" t="s">
        <v>23</v>
      </c>
      <c r="E182" s="10">
        <v>1.24</v>
      </c>
      <c r="F182" s="10">
        <v>9.51</v>
      </c>
      <c r="G182" s="10">
        <v>9.08</v>
      </c>
      <c r="H182" s="10">
        <v>1.83</v>
      </c>
      <c r="I182" s="8">
        <f t="shared" si="10"/>
        <v>2.6302260600000005</v>
      </c>
      <c r="K182" s="8">
        <f t="shared" si="12"/>
        <v>26.660665992104267</v>
      </c>
      <c r="L182" s="8">
        <f t="shared" si="11"/>
        <v>13.330332996052134</v>
      </c>
    </row>
    <row r="183" spans="1:12" x14ac:dyDescent="0.25">
      <c r="A183" s="1">
        <v>182</v>
      </c>
      <c r="B183" s="1">
        <v>74</v>
      </c>
      <c r="C183" s="3" t="s">
        <v>49</v>
      </c>
      <c r="D183" s="5" t="s">
        <v>23</v>
      </c>
      <c r="E183" s="10">
        <v>1.48</v>
      </c>
      <c r="F183" s="10">
        <v>7.86</v>
      </c>
      <c r="G183" s="10">
        <f>F183-2</f>
        <v>5.86</v>
      </c>
      <c r="H183" s="10">
        <v>1.86</v>
      </c>
      <c r="I183" s="8">
        <f t="shared" si="10"/>
        <v>2.7171698400000004</v>
      </c>
      <c r="K183" s="8">
        <f t="shared" si="12"/>
        <v>10.799846336597049</v>
      </c>
      <c r="L183" s="8">
        <f t="shared" si="11"/>
        <v>5.3999231682985247</v>
      </c>
    </row>
    <row r="184" spans="1:12" x14ac:dyDescent="0.25">
      <c r="A184" s="1">
        <v>183</v>
      </c>
      <c r="B184" s="1">
        <v>75</v>
      </c>
      <c r="C184" s="3" t="s">
        <v>49</v>
      </c>
      <c r="D184" s="5" t="s">
        <v>23</v>
      </c>
      <c r="E184" s="10">
        <v>2.39</v>
      </c>
      <c r="F184" s="10">
        <v>5.18</v>
      </c>
      <c r="G184" s="10">
        <f>F184-2</f>
        <v>3.1799999999999997</v>
      </c>
      <c r="H184" s="10">
        <v>2.0499999999999998</v>
      </c>
      <c r="I184" s="8">
        <f t="shared" si="10"/>
        <v>3.3006434999999996</v>
      </c>
      <c r="K184" s="8">
        <f t="shared" si="12"/>
        <v>3.0592798603444176</v>
      </c>
      <c r="L184" s="8">
        <f t="shared" si="11"/>
        <v>1.5296399301722088</v>
      </c>
    </row>
    <row r="185" spans="1:12" x14ac:dyDescent="0.25">
      <c r="A185" s="1">
        <v>184</v>
      </c>
      <c r="B185" s="1">
        <v>76</v>
      </c>
      <c r="C185" s="3" t="s">
        <v>49</v>
      </c>
      <c r="D185" s="5" t="s">
        <v>23</v>
      </c>
      <c r="E185" s="10">
        <v>1.1299999999999999</v>
      </c>
      <c r="F185" s="10">
        <v>6.09</v>
      </c>
      <c r="G185" s="10">
        <v>5.13</v>
      </c>
      <c r="H185" s="10">
        <v>1.95</v>
      </c>
      <c r="I185" s="8">
        <f t="shared" si="10"/>
        <v>2.9864834999999998</v>
      </c>
      <c r="K185" s="8">
        <f t="shared" si="12"/>
        <v>8.2070679378783336</v>
      </c>
      <c r="L185" s="8">
        <f t="shared" si="11"/>
        <v>4.1035339689391668</v>
      </c>
    </row>
    <row r="186" spans="1:12" x14ac:dyDescent="0.25">
      <c r="A186" s="1">
        <v>185</v>
      </c>
      <c r="B186" s="1">
        <v>77</v>
      </c>
      <c r="C186" s="3" t="s">
        <v>49</v>
      </c>
      <c r="D186" s="5" t="s">
        <v>23</v>
      </c>
      <c r="E186" s="10">
        <v>1.32</v>
      </c>
      <c r="F186" s="10">
        <v>10.01</v>
      </c>
      <c r="G186" s="10">
        <v>3.57</v>
      </c>
      <c r="H186" s="10">
        <v>2.0099999999999998</v>
      </c>
      <c r="I186" s="8">
        <f t="shared" si="10"/>
        <v>3.1730945399999992</v>
      </c>
      <c r="K186" s="8">
        <f t="shared" si="12"/>
        <v>3.8841116876459334</v>
      </c>
      <c r="L186" s="8">
        <f t="shared" si="11"/>
        <v>1.9420558438229667</v>
      </c>
    </row>
    <row r="187" spans="1:12" x14ac:dyDescent="0.25">
      <c r="A187" s="1">
        <v>186</v>
      </c>
      <c r="B187" s="1">
        <v>78</v>
      </c>
      <c r="C187" s="3" t="s">
        <v>49</v>
      </c>
      <c r="D187" s="5" t="s">
        <v>23</v>
      </c>
      <c r="E187" s="10">
        <v>1.3</v>
      </c>
      <c r="F187" s="10">
        <v>9.61</v>
      </c>
      <c r="G187" s="10">
        <v>5.82</v>
      </c>
      <c r="H187" s="10">
        <v>1.89</v>
      </c>
      <c r="I187" s="8">
        <f t="shared" si="10"/>
        <v>2.8055273399999998</v>
      </c>
      <c r="K187" s="8">
        <f t="shared" si="12"/>
        <v>10.64827906585451</v>
      </c>
      <c r="L187" s="8">
        <f t="shared" si="11"/>
        <v>5.3241395329272549</v>
      </c>
    </row>
    <row r="188" spans="1:12" x14ac:dyDescent="0.25">
      <c r="A188" s="1">
        <v>187</v>
      </c>
      <c r="B188" s="1">
        <v>79</v>
      </c>
      <c r="C188" s="3" t="s">
        <v>49</v>
      </c>
      <c r="D188" s="5" t="s">
        <v>23</v>
      </c>
      <c r="E188" s="10">
        <v>1.73</v>
      </c>
      <c r="F188" s="10">
        <v>5.19</v>
      </c>
      <c r="G188" s="10">
        <v>4.21</v>
      </c>
      <c r="H188" s="10">
        <v>1.93</v>
      </c>
      <c r="I188" s="8">
        <f t="shared" si="10"/>
        <v>2.92553646</v>
      </c>
      <c r="K188" s="8">
        <f t="shared" si="12"/>
        <v>5.4584200101404718</v>
      </c>
      <c r="L188" s="8">
        <f t="shared" si="11"/>
        <v>2.7292100050702359</v>
      </c>
    </row>
    <row r="189" spans="1:12" x14ac:dyDescent="0.25">
      <c r="A189" s="1">
        <v>188</v>
      </c>
      <c r="B189" s="1">
        <v>80</v>
      </c>
      <c r="C189" s="3" t="s">
        <v>49</v>
      </c>
      <c r="D189" s="5" t="s">
        <v>23</v>
      </c>
      <c r="E189" s="10">
        <v>1.19</v>
      </c>
      <c r="F189" s="10">
        <v>6.55</v>
      </c>
      <c r="G189" s="10">
        <f>F189-2</f>
        <v>4.55</v>
      </c>
      <c r="H189" s="10">
        <v>1.88</v>
      </c>
      <c r="I189" s="8">
        <f t="shared" si="10"/>
        <v>2.7759177599999996</v>
      </c>
      <c r="K189" s="8">
        <f t="shared" si="12"/>
        <v>6.407186455974383</v>
      </c>
      <c r="L189" s="8">
        <f t="shared" si="11"/>
        <v>3.2035932279871915</v>
      </c>
    </row>
    <row r="190" spans="1:12" x14ac:dyDescent="0.25">
      <c r="A190" s="1">
        <v>189</v>
      </c>
      <c r="B190" s="1">
        <v>81</v>
      </c>
      <c r="C190" s="3" t="s">
        <v>49</v>
      </c>
      <c r="D190" s="5" t="s">
        <v>23</v>
      </c>
      <c r="E190" s="10">
        <v>1.84</v>
      </c>
      <c r="F190" s="10">
        <v>6.62</v>
      </c>
      <c r="G190" s="10">
        <v>5.42</v>
      </c>
      <c r="H190" s="10">
        <v>1.76</v>
      </c>
      <c r="I190" s="8">
        <f t="shared" si="10"/>
        <v>2.4328550399999997</v>
      </c>
      <c r="K190" s="8">
        <f t="shared" si="12"/>
        <v>9.1932352448289585</v>
      </c>
      <c r="L190" s="8">
        <f t="shared" si="11"/>
        <v>4.5966176224144792</v>
      </c>
    </row>
    <row r="191" spans="1:12" x14ac:dyDescent="0.25">
      <c r="A191" s="1">
        <v>190</v>
      </c>
      <c r="B191" s="1">
        <v>82</v>
      </c>
      <c r="C191" s="3" t="s">
        <v>49</v>
      </c>
      <c r="D191" s="5" t="s">
        <v>23</v>
      </c>
      <c r="E191" s="10">
        <v>1.1499999999999999</v>
      </c>
      <c r="F191" s="10">
        <v>9.6999999999999993</v>
      </c>
      <c r="G191" s="10">
        <f>F191-2</f>
        <v>7.6999999999999993</v>
      </c>
      <c r="H191" s="10">
        <v>1.95</v>
      </c>
      <c r="I191" s="8">
        <f t="shared" si="10"/>
        <v>2.9864834999999998</v>
      </c>
      <c r="K191" s="8">
        <f t="shared" si="12"/>
        <v>18.972932297820336</v>
      </c>
      <c r="L191" s="8">
        <f t="shared" si="11"/>
        <v>9.4864661489101678</v>
      </c>
    </row>
    <row r="192" spans="1:12" x14ac:dyDescent="0.25">
      <c r="A192" s="1">
        <v>191</v>
      </c>
      <c r="B192" s="1">
        <v>83</v>
      </c>
      <c r="C192" s="3" t="s">
        <v>49</v>
      </c>
      <c r="D192" s="5" t="s">
        <v>23</v>
      </c>
      <c r="E192" s="10">
        <v>1.1399999999999999</v>
      </c>
      <c r="F192" s="10">
        <v>5.14</v>
      </c>
      <c r="G192" s="10">
        <f>F192-2</f>
        <v>3.1399999999999997</v>
      </c>
      <c r="H192" s="10">
        <v>1.9</v>
      </c>
      <c r="I192" s="8">
        <f t="shared" si="10"/>
        <v>2.8352939999999998</v>
      </c>
      <c r="K192" s="8">
        <f t="shared" si="12"/>
        <v>2.9804042526409216</v>
      </c>
      <c r="L192" s="8">
        <f t="shared" si="11"/>
        <v>1.4902021263204608</v>
      </c>
    </row>
    <row r="193" spans="1:12" x14ac:dyDescent="0.25">
      <c r="A193" s="1">
        <v>192</v>
      </c>
      <c r="B193" s="1">
        <v>84</v>
      </c>
      <c r="C193" s="3" t="s">
        <v>49</v>
      </c>
      <c r="D193" s="5" t="s">
        <v>23</v>
      </c>
      <c r="E193" s="10">
        <v>2.06</v>
      </c>
      <c r="F193" s="10">
        <v>5.73</v>
      </c>
      <c r="G193" s="10">
        <f>F193-2</f>
        <v>3.7300000000000004</v>
      </c>
      <c r="H193" s="10">
        <v>1.89</v>
      </c>
      <c r="I193" s="8">
        <f t="shared" si="10"/>
        <v>2.8055273399999998</v>
      </c>
      <c r="K193" s="8">
        <f t="shared" si="12"/>
        <v>4.2518899962269288</v>
      </c>
      <c r="L193" s="8">
        <f t="shared" si="11"/>
        <v>2.1259449981134644</v>
      </c>
    </row>
    <row r="194" spans="1:12" x14ac:dyDescent="0.25">
      <c r="A194" s="1">
        <v>193</v>
      </c>
      <c r="B194" s="1">
        <v>85</v>
      </c>
      <c r="C194" s="3" t="s">
        <v>49</v>
      </c>
      <c r="D194" s="5" t="s">
        <v>23</v>
      </c>
      <c r="E194" s="10">
        <v>1.57</v>
      </c>
      <c r="F194" s="10">
        <v>10.6</v>
      </c>
      <c r="G194" s="10">
        <v>3.93</v>
      </c>
      <c r="H194" s="10">
        <v>2.08</v>
      </c>
      <c r="I194" s="8">
        <f t="shared" si="10"/>
        <v>3.3979545600000005</v>
      </c>
      <c r="K194" s="8">
        <f t="shared" si="12"/>
        <v>4.735762053493084</v>
      </c>
      <c r="L194" s="8">
        <f t="shared" si="11"/>
        <v>2.367881026746542</v>
      </c>
    </row>
    <row r="195" spans="1:12" x14ac:dyDescent="0.25">
      <c r="A195" s="1">
        <v>194</v>
      </c>
      <c r="B195" s="1">
        <v>86</v>
      </c>
      <c r="C195" s="3" t="s">
        <v>49</v>
      </c>
      <c r="D195" s="5" t="s">
        <v>23</v>
      </c>
      <c r="E195" s="10">
        <v>2.2000000000000002</v>
      </c>
      <c r="F195" s="10">
        <v>6.25</v>
      </c>
      <c r="G195" s="10">
        <f>F195-2</f>
        <v>4.25</v>
      </c>
      <c r="H195" s="10">
        <v>1.75</v>
      </c>
      <c r="I195" s="8">
        <f t="shared" ref="I195:I258" si="13">0.7854*H195^2</f>
        <v>2.4052875</v>
      </c>
      <c r="K195" s="8">
        <f t="shared" si="12"/>
        <v>5.5659769407540702</v>
      </c>
      <c r="L195" s="8">
        <f t="shared" ref="L195:L258" si="14">K195*0.5</f>
        <v>2.7829884703770351</v>
      </c>
    </row>
    <row r="196" spans="1:12" x14ac:dyDescent="0.25">
      <c r="A196" s="1">
        <v>195</v>
      </c>
      <c r="B196" s="1">
        <v>87</v>
      </c>
      <c r="C196" s="3" t="s">
        <v>49</v>
      </c>
      <c r="D196" s="5" t="s">
        <v>23</v>
      </c>
      <c r="E196" s="10">
        <v>1.28</v>
      </c>
      <c r="F196" s="10">
        <v>9.57</v>
      </c>
      <c r="G196" s="10">
        <f>F196-2</f>
        <v>7.57</v>
      </c>
      <c r="H196" s="10">
        <v>1.84</v>
      </c>
      <c r="I196" s="8">
        <f t="shared" si="13"/>
        <v>2.65905024</v>
      </c>
      <c r="K196" s="8">
        <f t="shared" si="12"/>
        <v>18.317879296341875</v>
      </c>
      <c r="L196" s="8">
        <f t="shared" si="14"/>
        <v>9.1589396481709375</v>
      </c>
    </row>
    <row r="197" spans="1:12" x14ac:dyDescent="0.25">
      <c r="A197" s="1">
        <v>196</v>
      </c>
      <c r="B197" s="1">
        <v>88</v>
      </c>
      <c r="C197" s="3" t="s">
        <v>49</v>
      </c>
      <c r="D197" s="5" t="s">
        <v>23</v>
      </c>
      <c r="E197" s="10">
        <v>1.64</v>
      </c>
      <c r="F197" s="10">
        <v>6.67</v>
      </c>
      <c r="G197" s="10">
        <f>F197-2</f>
        <v>4.67</v>
      </c>
      <c r="H197" s="10">
        <v>1.92</v>
      </c>
      <c r="I197" s="8">
        <f t="shared" si="13"/>
        <v>2.8952985600000001</v>
      </c>
      <c r="K197" s="8">
        <f t="shared" si="12"/>
        <v>6.7607710442016451</v>
      </c>
      <c r="L197" s="8">
        <f t="shared" si="14"/>
        <v>3.3803855221008225</v>
      </c>
    </row>
    <row r="198" spans="1:12" x14ac:dyDescent="0.25">
      <c r="A198" s="1">
        <v>197</v>
      </c>
      <c r="B198" s="1">
        <v>89</v>
      </c>
      <c r="C198" s="3" t="s">
        <v>49</v>
      </c>
      <c r="D198" s="5" t="s">
        <v>23</v>
      </c>
      <c r="E198" s="10">
        <v>2.15</v>
      </c>
      <c r="F198" s="10">
        <v>5.7</v>
      </c>
      <c r="G198" s="10">
        <f>F198-2</f>
        <v>3.7</v>
      </c>
      <c r="H198" s="10">
        <v>2.04</v>
      </c>
      <c r="I198" s="8">
        <f t="shared" si="13"/>
        <v>3.2685206399999998</v>
      </c>
      <c r="K198" s="8">
        <f t="shared" si="12"/>
        <v>4.1816251894568666</v>
      </c>
      <c r="L198" s="8">
        <f t="shared" si="14"/>
        <v>2.0908125947284333</v>
      </c>
    </row>
    <row r="199" spans="1:12" x14ac:dyDescent="0.25">
      <c r="A199" s="1">
        <v>198</v>
      </c>
      <c r="B199" s="1">
        <v>90</v>
      </c>
      <c r="C199" s="3" t="s">
        <v>49</v>
      </c>
      <c r="D199" s="5" t="s">
        <v>23</v>
      </c>
      <c r="E199" s="10">
        <v>1.32</v>
      </c>
      <c r="F199" s="10">
        <v>6.7</v>
      </c>
      <c r="G199" s="10">
        <f>F199-2</f>
        <v>4.7</v>
      </c>
      <c r="H199" s="10">
        <v>1.78</v>
      </c>
      <c r="I199" s="8">
        <f t="shared" si="13"/>
        <v>2.4884613600000001</v>
      </c>
      <c r="K199" s="8">
        <f t="shared" si="12"/>
        <v>6.8506972517169205</v>
      </c>
      <c r="L199" s="8">
        <f t="shared" si="14"/>
        <v>3.4253486258584602</v>
      </c>
    </row>
    <row r="200" spans="1:12" x14ac:dyDescent="0.25">
      <c r="A200" s="1">
        <v>199</v>
      </c>
      <c r="B200" s="1">
        <v>91</v>
      </c>
      <c r="C200" s="3" t="s">
        <v>49</v>
      </c>
      <c r="D200" s="5" t="s">
        <v>23</v>
      </c>
      <c r="E200" s="10">
        <v>1.67</v>
      </c>
      <c r="F200" s="10">
        <v>10.06</v>
      </c>
      <c r="G200" s="10">
        <v>4.22</v>
      </c>
      <c r="H200" s="10">
        <v>1.88</v>
      </c>
      <c r="I200" s="8">
        <f t="shared" si="13"/>
        <v>2.7759177599999996</v>
      </c>
      <c r="K200" s="8">
        <f t="shared" si="12"/>
        <v>5.4852078411739926</v>
      </c>
      <c r="L200" s="8">
        <f t="shared" si="14"/>
        <v>2.7426039205869963</v>
      </c>
    </row>
    <row r="201" spans="1:12" x14ac:dyDescent="0.25">
      <c r="A201" s="1">
        <v>200</v>
      </c>
      <c r="B201" s="1">
        <v>92</v>
      </c>
      <c r="C201" s="3" t="s">
        <v>49</v>
      </c>
      <c r="D201" s="5" t="s">
        <v>23</v>
      </c>
      <c r="E201" s="10">
        <v>1.97</v>
      </c>
      <c r="F201" s="10">
        <v>10.99</v>
      </c>
      <c r="G201" s="10">
        <v>6.52</v>
      </c>
      <c r="H201" s="10">
        <v>1.91</v>
      </c>
      <c r="I201" s="8">
        <f t="shared" si="13"/>
        <v>2.8652177399999998</v>
      </c>
      <c r="K201" s="8">
        <f t="shared" si="12"/>
        <v>13.46048658056659</v>
      </c>
      <c r="L201" s="8">
        <f t="shared" si="14"/>
        <v>6.7302432902832949</v>
      </c>
    </row>
    <row r="202" spans="1:12" x14ac:dyDescent="0.25">
      <c r="A202" s="1">
        <v>201</v>
      </c>
      <c r="B202" s="1">
        <v>93</v>
      </c>
      <c r="C202" s="3" t="s">
        <v>49</v>
      </c>
      <c r="D202" s="5" t="s">
        <v>23</v>
      </c>
      <c r="E202" s="10">
        <v>1.9</v>
      </c>
      <c r="F202" s="10">
        <v>10.81</v>
      </c>
      <c r="G202" s="10">
        <v>5.79</v>
      </c>
      <c r="H202" s="10">
        <v>1.94</v>
      </c>
      <c r="I202" s="8">
        <f t="shared" si="13"/>
        <v>2.9559314399999996</v>
      </c>
      <c r="K202" s="8">
        <f t="shared" si="12"/>
        <v>10.535328016120291</v>
      </c>
      <c r="L202" s="8">
        <f t="shared" si="14"/>
        <v>5.2676640080601453</v>
      </c>
    </row>
    <row r="203" spans="1:12" x14ac:dyDescent="0.25">
      <c r="A203" s="1">
        <v>202</v>
      </c>
      <c r="B203" s="1">
        <v>94</v>
      </c>
      <c r="C203" s="3" t="s">
        <v>49</v>
      </c>
      <c r="D203" s="5" t="s">
        <v>23</v>
      </c>
      <c r="E203" s="10">
        <v>1.42</v>
      </c>
      <c r="F203" s="10">
        <v>7.78</v>
      </c>
      <c r="G203" s="10">
        <v>4.0199999999999996</v>
      </c>
      <c r="H203" s="10">
        <v>1.85</v>
      </c>
      <c r="I203" s="8">
        <f t="shared" si="13"/>
        <v>2.6880315000000001</v>
      </c>
      <c r="K203" s="8">
        <f t="shared" si="12"/>
        <v>4.9622804588738649</v>
      </c>
      <c r="L203" s="8">
        <f t="shared" si="14"/>
        <v>2.4811402294369325</v>
      </c>
    </row>
    <row r="204" spans="1:12" x14ac:dyDescent="0.25">
      <c r="A204" s="1">
        <v>203</v>
      </c>
      <c r="B204" s="1">
        <v>95</v>
      </c>
      <c r="C204" s="3" t="s">
        <v>49</v>
      </c>
      <c r="D204" s="5" t="s">
        <v>23</v>
      </c>
      <c r="E204" s="10">
        <v>1.36</v>
      </c>
      <c r="F204" s="10">
        <v>9.68</v>
      </c>
      <c r="G204" s="10">
        <v>5.57</v>
      </c>
      <c r="H204" s="10">
        <v>1.78</v>
      </c>
      <c r="I204" s="8">
        <f t="shared" si="13"/>
        <v>2.4884613600000001</v>
      </c>
      <c r="K204" s="8">
        <f t="shared" si="12"/>
        <v>9.7259725800353181</v>
      </c>
      <c r="L204" s="8">
        <f t="shared" si="14"/>
        <v>4.862986290017659</v>
      </c>
    </row>
    <row r="205" spans="1:12" x14ac:dyDescent="0.25">
      <c r="A205" s="1">
        <v>204</v>
      </c>
      <c r="B205" s="1">
        <v>96</v>
      </c>
      <c r="C205" s="3" t="s">
        <v>49</v>
      </c>
      <c r="D205" s="5" t="s">
        <v>23</v>
      </c>
      <c r="E205" s="10">
        <v>1.24</v>
      </c>
      <c r="F205" s="10">
        <v>6.43</v>
      </c>
      <c r="G205" s="10">
        <v>3.48</v>
      </c>
      <c r="H205" s="10">
        <v>1.81</v>
      </c>
      <c r="I205" s="8">
        <f t="shared" si="13"/>
        <v>2.5730489400000001</v>
      </c>
      <c r="K205" s="8">
        <f t="shared" si="12"/>
        <v>3.6847634730323016</v>
      </c>
      <c r="L205" s="8">
        <f t="shared" si="14"/>
        <v>1.8423817365161508</v>
      </c>
    </row>
    <row r="206" spans="1:12" x14ac:dyDescent="0.25">
      <c r="A206" s="1">
        <v>205</v>
      </c>
      <c r="B206" s="1">
        <v>97</v>
      </c>
      <c r="C206" s="3" t="s">
        <v>49</v>
      </c>
      <c r="D206" s="5" t="s">
        <v>23</v>
      </c>
      <c r="E206" s="10">
        <v>1.74</v>
      </c>
      <c r="F206" s="10">
        <v>7.05</v>
      </c>
      <c r="G206" s="10">
        <v>3.18</v>
      </c>
      <c r="H206" s="10">
        <v>1.78</v>
      </c>
      <c r="I206" s="8">
        <f t="shared" si="13"/>
        <v>2.4884613600000001</v>
      </c>
      <c r="K206" s="8">
        <f t="shared" si="12"/>
        <v>3.0592798603444189</v>
      </c>
      <c r="L206" s="8">
        <f t="shared" si="14"/>
        <v>1.5296399301722094</v>
      </c>
    </row>
    <row r="207" spans="1:12" x14ac:dyDescent="0.25">
      <c r="A207" s="1">
        <v>206</v>
      </c>
      <c r="B207" s="1">
        <v>98</v>
      </c>
      <c r="C207" s="3" t="s">
        <v>49</v>
      </c>
      <c r="D207" s="5" t="s">
        <v>23</v>
      </c>
      <c r="E207" s="10">
        <v>1.85</v>
      </c>
      <c r="F207" s="10">
        <v>11.27</v>
      </c>
      <c r="G207" s="10">
        <v>3.95</v>
      </c>
      <c r="H207" s="10">
        <v>1.94</v>
      </c>
      <c r="I207" s="8">
        <f t="shared" si="13"/>
        <v>2.9559314399999996</v>
      </c>
      <c r="K207" s="8">
        <f t="shared" si="12"/>
        <v>4.7856281735027855</v>
      </c>
      <c r="L207" s="8">
        <f t="shared" si="14"/>
        <v>2.3928140867513927</v>
      </c>
    </row>
    <row r="208" spans="1:12" x14ac:dyDescent="0.25">
      <c r="A208" s="1">
        <v>207</v>
      </c>
      <c r="B208" s="1">
        <v>99</v>
      </c>
      <c r="C208" s="3" t="s">
        <v>49</v>
      </c>
      <c r="D208" s="5" t="s">
        <v>23</v>
      </c>
      <c r="E208" s="10">
        <v>2.2599999999999998</v>
      </c>
      <c r="F208" s="10">
        <v>5.09</v>
      </c>
      <c r="G208" s="10">
        <f>F208-2</f>
        <v>3.09</v>
      </c>
      <c r="H208" s="10">
        <v>1.91</v>
      </c>
      <c r="I208" s="8">
        <f t="shared" si="13"/>
        <v>2.8652177399999998</v>
      </c>
      <c r="K208" s="8">
        <f t="shared" si="12"/>
        <v>2.8833022302541975</v>
      </c>
      <c r="L208" s="8">
        <f t="shared" si="14"/>
        <v>1.4416511151270988</v>
      </c>
    </row>
    <row r="209" spans="1:12" x14ac:dyDescent="0.25">
      <c r="A209" s="1">
        <v>208</v>
      </c>
      <c r="B209" s="1">
        <v>100</v>
      </c>
      <c r="C209" s="3" t="s">
        <v>49</v>
      </c>
      <c r="D209" s="5" t="s">
        <v>23</v>
      </c>
      <c r="E209" s="10">
        <v>1.57</v>
      </c>
      <c r="F209" s="10">
        <v>5.6</v>
      </c>
      <c r="G209" s="10">
        <f>F209-2</f>
        <v>3.5999999999999996</v>
      </c>
      <c r="H209" s="10">
        <v>1.84</v>
      </c>
      <c r="I209" s="8">
        <f t="shared" si="13"/>
        <v>2.65905024</v>
      </c>
      <c r="K209" s="8">
        <f t="shared" si="12"/>
        <v>3.9517645040000882</v>
      </c>
      <c r="L209" s="8">
        <f t="shared" si="14"/>
        <v>1.9758822520000441</v>
      </c>
    </row>
    <row r="210" spans="1:12" x14ac:dyDescent="0.25">
      <c r="A210" s="1">
        <v>209</v>
      </c>
      <c r="B210" s="1">
        <v>101</v>
      </c>
      <c r="C210" s="3" t="s">
        <v>49</v>
      </c>
      <c r="D210" s="5" t="s">
        <v>23</v>
      </c>
      <c r="E210" s="10">
        <v>1.73</v>
      </c>
      <c r="F210" s="10">
        <v>6.46</v>
      </c>
      <c r="G210" s="10">
        <f>F210-2</f>
        <v>4.46</v>
      </c>
      <c r="H210" s="10">
        <v>2.0299999999999998</v>
      </c>
      <c r="I210" s="8">
        <f t="shared" si="13"/>
        <v>3.2365548599999991</v>
      </c>
      <c r="K210" s="8">
        <f t="shared" si="12"/>
        <v>6.1484171680087494</v>
      </c>
      <c r="L210" s="8">
        <f t="shared" si="14"/>
        <v>3.0742085840043747</v>
      </c>
    </row>
    <row r="211" spans="1:12" x14ac:dyDescent="0.25">
      <c r="A211" s="1">
        <v>210</v>
      </c>
      <c r="B211" s="1">
        <v>102</v>
      </c>
      <c r="C211" s="3" t="s">
        <v>49</v>
      </c>
      <c r="D211" s="5" t="s">
        <v>23</v>
      </c>
      <c r="E211" s="10">
        <v>1.72</v>
      </c>
      <c r="F211" s="10">
        <v>5.19</v>
      </c>
      <c r="G211" s="10">
        <f>F211-2</f>
        <v>3.1900000000000004</v>
      </c>
      <c r="H211" s="10">
        <v>1.77</v>
      </c>
      <c r="I211" s="8">
        <f t="shared" si="13"/>
        <v>2.4605796600000001</v>
      </c>
      <c r="K211" s="8">
        <f t="shared" si="12"/>
        <v>3.0791647056514688</v>
      </c>
      <c r="L211" s="8">
        <f t="shared" si="14"/>
        <v>1.5395823528257344</v>
      </c>
    </row>
    <row r="212" spans="1:12" x14ac:dyDescent="0.25">
      <c r="A212" s="1">
        <v>211</v>
      </c>
      <c r="B212" s="1">
        <v>103</v>
      </c>
      <c r="C212" s="3" t="s">
        <v>49</v>
      </c>
      <c r="D212" s="5" t="s">
        <v>23</v>
      </c>
      <c r="E212" s="10">
        <v>1.42</v>
      </c>
      <c r="F212" s="10">
        <v>6.27</v>
      </c>
      <c r="G212" s="10">
        <v>5.18</v>
      </c>
      <c r="H212" s="10">
        <v>1.74</v>
      </c>
      <c r="I212" s="8">
        <f t="shared" si="13"/>
        <v>2.37787704</v>
      </c>
      <c r="K212" s="8">
        <f t="shared" si="12"/>
        <v>8.3729848392241717</v>
      </c>
      <c r="L212" s="8">
        <f t="shared" si="14"/>
        <v>4.1864924196120858</v>
      </c>
    </row>
    <row r="213" spans="1:12" x14ac:dyDescent="0.25">
      <c r="A213" s="1">
        <v>212</v>
      </c>
      <c r="B213" s="1">
        <v>104</v>
      </c>
      <c r="C213" s="3" t="s">
        <v>49</v>
      </c>
      <c r="D213" s="5" t="s">
        <v>23</v>
      </c>
      <c r="E213" s="10">
        <v>1.36</v>
      </c>
      <c r="F213" s="10">
        <v>9.08</v>
      </c>
      <c r="G213" s="10">
        <v>6.54</v>
      </c>
      <c r="H213" s="10">
        <v>1.82</v>
      </c>
      <c r="I213" s="8">
        <f t="shared" si="13"/>
        <v>2.6015589600000002</v>
      </c>
      <c r="K213" s="8">
        <f t="shared" si="12"/>
        <v>13.545827141723132</v>
      </c>
      <c r="L213" s="8">
        <f t="shared" si="14"/>
        <v>6.772913570861566</v>
      </c>
    </row>
    <row r="214" spans="1:12" x14ac:dyDescent="0.25">
      <c r="A214" s="1">
        <v>213</v>
      </c>
      <c r="B214" s="1">
        <v>105</v>
      </c>
      <c r="C214" s="3" t="s">
        <v>49</v>
      </c>
      <c r="D214" s="5" t="s">
        <v>23</v>
      </c>
      <c r="E214" s="10">
        <v>1.62</v>
      </c>
      <c r="F214" s="10">
        <v>7.95</v>
      </c>
      <c r="G214" s="10">
        <v>6.08</v>
      </c>
      <c r="H214" s="10">
        <v>1.81</v>
      </c>
      <c r="I214" s="8">
        <f t="shared" si="13"/>
        <v>2.5730489400000001</v>
      </c>
      <c r="K214" s="8">
        <f t="shared" si="12"/>
        <v>11.653218280097111</v>
      </c>
      <c r="L214" s="8">
        <f t="shared" si="14"/>
        <v>5.8266091400485553</v>
      </c>
    </row>
    <row r="215" spans="1:12" x14ac:dyDescent="0.25">
      <c r="A215" s="1">
        <v>214</v>
      </c>
      <c r="B215" s="1">
        <v>106</v>
      </c>
      <c r="C215" s="3" t="s">
        <v>49</v>
      </c>
      <c r="D215" s="5" t="s">
        <v>23</v>
      </c>
      <c r="E215" s="10">
        <v>1.64</v>
      </c>
      <c r="F215" s="10">
        <v>11.25</v>
      </c>
      <c r="G215" s="10">
        <v>3.74</v>
      </c>
      <c r="H215" s="10">
        <v>1.84</v>
      </c>
      <c r="I215" s="8">
        <f t="shared" si="13"/>
        <v>2.65905024</v>
      </c>
      <c r="K215" s="8">
        <f t="shared" si="12"/>
        <v>4.2754457164372068</v>
      </c>
      <c r="L215" s="8">
        <f t="shared" si="14"/>
        <v>2.1377228582186034</v>
      </c>
    </row>
    <row r="216" spans="1:12" x14ac:dyDescent="0.25">
      <c r="A216" s="1">
        <v>215</v>
      </c>
      <c r="B216" s="1">
        <v>107</v>
      </c>
      <c r="C216" s="3" t="s">
        <v>49</v>
      </c>
      <c r="D216" s="5" t="s">
        <v>23</v>
      </c>
      <c r="E216" s="10">
        <v>2.37</v>
      </c>
      <c r="F216" s="10">
        <v>10.72</v>
      </c>
      <c r="G216" s="10">
        <v>7.49</v>
      </c>
      <c r="H216" s="10">
        <v>1.89</v>
      </c>
      <c r="I216" s="8">
        <f t="shared" si="13"/>
        <v>2.8055273399999998</v>
      </c>
      <c r="K216" s="8">
        <f t="shared" si="12"/>
        <v>17.920663143391547</v>
      </c>
      <c r="L216" s="8">
        <f t="shared" si="14"/>
        <v>8.9603315716957734</v>
      </c>
    </row>
    <row r="217" spans="1:12" x14ac:dyDescent="0.25">
      <c r="A217" s="1">
        <v>216</v>
      </c>
      <c r="B217" s="1">
        <v>108</v>
      </c>
      <c r="C217" s="3" t="s">
        <v>49</v>
      </c>
      <c r="D217" s="5" t="s">
        <v>23</v>
      </c>
      <c r="E217" s="10">
        <v>1.64</v>
      </c>
      <c r="F217" s="10">
        <v>7.39</v>
      </c>
      <c r="G217" s="10">
        <v>4.51</v>
      </c>
      <c r="H217" s="10">
        <v>1.91</v>
      </c>
      <c r="I217" s="8">
        <f t="shared" si="13"/>
        <v>2.8652177399999998</v>
      </c>
      <c r="K217" s="8">
        <f t="shared" si="12"/>
        <v>6.2914991138914473</v>
      </c>
      <c r="L217" s="8">
        <f t="shared" si="14"/>
        <v>3.1457495569457237</v>
      </c>
    </row>
    <row r="218" spans="1:12" x14ac:dyDescent="0.25">
      <c r="A218" s="1">
        <v>217</v>
      </c>
      <c r="B218" s="1">
        <v>109</v>
      </c>
      <c r="C218" s="3" t="s">
        <v>49</v>
      </c>
      <c r="D218" s="5" t="s">
        <v>23</v>
      </c>
      <c r="E218" s="10">
        <v>1.21</v>
      </c>
      <c r="F218" s="10">
        <v>6.82</v>
      </c>
      <c r="G218" s="10">
        <f>F218-2</f>
        <v>4.82</v>
      </c>
      <c r="H218" s="10">
        <v>2.02</v>
      </c>
      <c r="I218" s="8">
        <f t="shared" si="13"/>
        <v>3.20474616</v>
      </c>
      <c r="K218" s="8">
        <f t="shared" si="12"/>
        <v>7.2165297945497864</v>
      </c>
      <c r="L218" s="8">
        <f t="shared" si="14"/>
        <v>3.6082648972748932</v>
      </c>
    </row>
    <row r="219" spans="1:12" x14ac:dyDescent="0.25">
      <c r="A219" s="1">
        <v>218</v>
      </c>
      <c r="B219" s="1">
        <v>110</v>
      </c>
      <c r="C219" s="3" t="s">
        <v>49</v>
      </c>
      <c r="D219" s="5" t="s">
        <v>23</v>
      </c>
      <c r="E219" s="10">
        <v>1.7</v>
      </c>
      <c r="F219" s="10">
        <v>7.66</v>
      </c>
      <c r="G219" s="10">
        <f>F219-2</f>
        <v>5.66</v>
      </c>
      <c r="H219" s="10">
        <v>2.0699999999999998</v>
      </c>
      <c r="I219" s="8">
        <f t="shared" si="13"/>
        <v>3.3653604599999993</v>
      </c>
      <c r="K219" s="8">
        <f t="shared" si="12"/>
        <v>10.053043259086071</v>
      </c>
      <c r="L219" s="8">
        <f t="shared" si="14"/>
        <v>5.0265216295430353</v>
      </c>
    </row>
    <row r="220" spans="1:12" x14ac:dyDescent="0.25">
      <c r="A220" s="1">
        <v>219</v>
      </c>
      <c r="B220" s="1">
        <v>111</v>
      </c>
      <c r="C220" s="3" t="s">
        <v>49</v>
      </c>
      <c r="D220" s="5" t="s">
        <v>23</v>
      </c>
      <c r="E220" s="10">
        <v>2.3199999999999998</v>
      </c>
      <c r="F220" s="10">
        <v>9.1300000000000008</v>
      </c>
      <c r="G220" s="10">
        <v>4.0599999999999996</v>
      </c>
      <c r="H220" s="10">
        <v>1.73</v>
      </c>
      <c r="I220" s="8">
        <f t="shared" si="13"/>
        <v>2.3506236600000001</v>
      </c>
      <c r="K220" s="8">
        <f t="shared" si="12"/>
        <v>5.0647068831623638</v>
      </c>
      <c r="L220" s="8">
        <f t="shared" si="14"/>
        <v>2.5323534415811819</v>
      </c>
    </row>
    <row r="221" spans="1:12" x14ac:dyDescent="0.25">
      <c r="A221" s="1">
        <v>220</v>
      </c>
      <c r="B221" s="1">
        <v>112</v>
      </c>
      <c r="C221" s="3" t="s">
        <v>49</v>
      </c>
      <c r="D221" s="5" t="s">
        <v>23</v>
      </c>
      <c r="E221" s="10">
        <v>2.34</v>
      </c>
      <c r="F221" s="10">
        <v>6.88</v>
      </c>
      <c r="G221" s="10">
        <v>3.43</v>
      </c>
      <c r="H221" s="10">
        <v>2.08</v>
      </c>
      <c r="I221" s="8">
        <f t="shared" si="13"/>
        <v>3.3979545600000005</v>
      </c>
      <c r="K221" s="8">
        <f t="shared" si="12"/>
        <v>3.5763520407682896</v>
      </c>
      <c r="L221" s="8">
        <f t="shared" si="14"/>
        <v>1.7881760203841448</v>
      </c>
    </row>
    <row r="222" spans="1:12" x14ac:dyDescent="0.25">
      <c r="A222" s="1">
        <v>221</v>
      </c>
      <c r="B222" s="1">
        <v>113</v>
      </c>
      <c r="C222" s="3" t="s">
        <v>49</v>
      </c>
      <c r="D222" s="5" t="s">
        <v>23</v>
      </c>
      <c r="E222" s="10">
        <v>2.17</v>
      </c>
      <c r="F222" s="10">
        <v>9.3699999999999992</v>
      </c>
      <c r="G222" s="10">
        <v>8.4700000000000006</v>
      </c>
      <c r="H222" s="10">
        <v>1.87</v>
      </c>
      <c r="I222" s="8">
        <f t="shared" si="13"/>
        <v>2.7464652600000004</v>
      </c>
      <c r="K222" s="8">
        <f t="shared" si="12"/>
        <v>23.096611155910377</v>
      </c>
      <c r="L222" s="8">
        <f t="shared" si="14"/>
        <v>11.548305577955189</v>
      </c>
    </row>
    <row r="223" spans="1:12" x14ac:dyDescent="0.25">
      <c r="A223" s="1">
        <v>222</v>
      </c>
      <c r="B223" s="1">
        <v>114</v>
      </c>
      <c r="C223" s="3" t="s">
        <v>49</v>
      </c>
      <c r="D223" s="5" t="s">
        <v>23</v>
      </c>
      <c r="E223" s="10">
        <v>1.84</v>
      </c>
      <c r="F223" s="10">
        <v>7.87</v>
      </c>
      <c r="G223" s="10">
        <v>6.22</v>
      </c>
      <c r="H223" s="10">
        <v>2.1</v>
      </c>
      <c r="I223" s="8">
        <f t="shared" si="13"/>
        <v>3.4636140000000002</v>
      </c>
      <c r="K223" s="8">
        <f t="shared" si="12"/>
        <v>12.213701575445072</v>
      </c>
      <c r="L223" s="8">
        <f t="shared" si="14"/>
        <v>6.1068507877225358</v>
      </c>
    </row>
    <row r="224" spans="1:12" x14ac:dyDescent="0.25">
      <c r="A224" s="1">
        <v>223</v>
      </c>
      <c r="B224" s="1">
        <v>115</v>
      </c>
      <c r="C224" s="3" t="s">
        <v>49</v>
      </c>
      <c r="D224" s="5" t="s">
        <v>23</v>
      </c>
      <c r="E224" s="10">
        <v>1.62</v>
      </c>
      <c r="F224" s="10">
        <v>8.86</v>
      </c>
      <c r="G224" s="10">
        <v>3.41</v>
      </c>
      <c r="H224" s="10">
        <v>1.93</v>
      </c>
      <c r="I224" s="8">
        <f t="shared" si="13"/>
        <v>2.92553646</v>
      </c>
      <c r="K224" s="8">
        <f t="shared" si="12"/>
        <v>3.5334545272206386</v>
      </c>
      <c r="L224" s="8">
        <f t="shared" si="14"/>
        <v>1.7667272636103193</v>
      </c>
    </row>
    <row r="225" spans="1:12" x14ac:dyDescent="0.25">
      <c r="A225" s="1">
        <v>224</v>
      </c>
      <c r="B225" s="1">
        <v>116</v>
      </c>
      <c r="C225" s="3" t="s">
        <v>49</v>
      </c>
      <c r="D225" s="5" t="s">
        <v>23</v>
      </c>
      <c r="E225" s="10">
        <v>2.13</v>
      </c>
      <c r="F225" s="10">
        <v>8.0500000000000007</v>
      </c>
      <c r="G225" s="10">
        <f>F225-2</f>
        <v>6.0500000000000007</v>
      </c>
      <c r="H225" s="10">
        <v>2.04</v>
      </c>
      <c r="I225" s="8">
        <f t="shared" si="13"/>
        <v>3.2685206399999998</v>
      </c>
      <c r="K225" s="8">
        <f t="shared" si="12"/>
        <v>11.534879479083632</v>
      </c>
      <c r="L225" s="8">
        <f t="shared" si="14"/>
        <v>5.7674397395418158</v>
      </c>
    </row>
    <row r="226" spans="1:12" x14ac:dyDescent="0.25">
      <c r="A226" s="1">
        <v>225</v>
      </c>
      <c r="B226" s="1">
        <v>117</v>
      </c>
      <c r="C226" s="3" t="s">
        <v>49</v>
      </c>
      <c r="D226" s="5" t="s">
        <v>23</v>
      </c>
      <c r="E226" s="10">
        <v>1.22</v>
      </c>
      <c r="F226" s="10">
        <v>7.06</v>
      </c>
      <c r="G226" s="10">
        <v>3.4</v>
      </c>
      <c r="H226" s="10">
        <v>2.0499999999999998</v>
      </c>
      <c r="I226" s="8">
        <f t="shared" si="13"/>
        <v>3.3006434999999996</v>
      </c>
      <c r="K226" s="8">
        <f t="shared" si="12"/>
        <v>3.5121058051934697</v>
      </c>
      <c r="L226" s="8">
        <f t="shared" si="14"/>
        <v>1.7560529025967349</v>
      </c>
    </row>
    <row r="227" spans="1:12" x14ac:dyDescent="0.25">
      <c r="A227" s="1">
        <v>226</v>
      </c>
      <c r="B227" s="1">
        <v>118</v>
      </c>
      <c r="C227" s="3" t="s">
        <v>49</v>
      </c>
      <c r="D227" s="5" t="s">
        <v>23</v>
      </c>
      <c r="E227" s="10">
        <v>2.0299999999999998</v>
      </c>
      <c r="F227" s="10">
        <v>11.64</v>
      </c>
      <c r="G227" s="10">
        <v>7.87</v>
      </c>
      <c r="H227" s="10">
        <v>1.75</v>
      </c>
      <c r="I227" s="8">
        <f t="shared" si="13"/>
        <v>2.4052875</v>
      </c>
      <c r="K227" s="8">
        <f t="shared" si="12"/>
        <v>19.847449510725511</v>
      </c>
      <c r="L227" s="8">
        <f t="shared" si="14"/>
        <v>9.9237247553627554</v>
      </c>
    </row>
    <row r="228" spans="1:12" x14ac:dyDescent="0.25">
      <c r="A228" s="1">
        <v>227</v>
      </c>
      <c r="B228" s="1">
        <v>119</v>
      </c>
      <c r="C228" s="3" t="s">
        <v>49</v>
      </c>
      <c r="D228" s="5" t="s">
        <v>23</v>
      </c>
      <c r="E228" s="10">
        <v>1.35</v>
      </c>
      <c r="F228" s="10">
        <v>10.35</v>
      </c>
      <c r="G228" s="10">
        <v>9.89</v>
      </c>
      <c r="H228" s="10">
        <v>1.85</v>
      </c>
      <c r="I228" s="8">
        <f t="shared" si="13"/>
        <v>2.6880315000000001</v>
      </c>
      <c r="K228" s="8">
        <f t="shared" si="12"/>
        <v>31.801557718579058</v>
      </c>
      <c r="L228" s="8">
        <f t="shared" si="14"/>
        <v>15.900778859289529</v>
      </c>
    </row>
    <row r="229" spans="1:12" x14ac:dyDescent="0.25">
      <c r="A229" s="1">
        <v>228</v>
      </c>
      <c r="B229" s="1">
        <v>120</v>
      </c>
      <c r="C229" s="3" t="s">
        <v>49</v>
      </c>
      <c r="D229" s="5" t="s">
        <v>23</v>
      </c>
      <c r="E229" s="10">
        <v>2.2799999999999998</v>
      </c>
      <c r="F229" s="10">
        <v>5.98</v>
      </c>
      <c r="G229" s="10">
        <v>4.67</v>
      </c>
      <c r="H229" s="10">
        <v>1.94</v>
      </c>
      <c r="I229" s="8">
        <f t="shared" si="13"/>
        <v>2.9559314399999996</v>
      </c>
      <c r="K229" s="8">
        <f t="shared" si="12"/>
        <v>6.7607710442016451</v>
      </c>
      <c r="L229" s="8">
        <f t="shared" si="14"/>
        <v>3.3803855221008225</v>
      </c>
    </row>
    <row r="230" spans="1:12" x14ac:dyDescent="0.25">
      <c r="A230" s="1">
        <v>229</v>
      </c>
      <c r="B230" s="1">
        <v>121</v>
      </c>
      <c r="C230" s="3" t="s">
        <v>49</v>
      </c>
      <c r="D230" s="5" t="s">
        <v>23</v>
      </c>
      <c r="E230" s="10">
        <v>2.06</v>
      </c>
      <c r="F230" s="10">
        <v>11.08</v>
      </c>
      <c r="G230" s="10">
        <v>4</v>
      </c>
      <c r="H230" s="10">
        <v>1.72</v>
      </c>
      <c r="I230" s="8">
        <f t="shared" si="13"/>
        <v>2.3235273599999999</v>
      </c>
      <c r="K230" s="8">
        <f t="shared" si="12"/>
        <v>4.9114716065456436</v>
      </c>
      <c r="L230" s="8">
        <f t="shared" si="14"/>
        <v>2.4557358032728218</v>
      </c>
    </row>
    <row r="231" spans="1:12" x14ac:dyDescent="0.25">
      <c r="A231" s="1">
        <v>230</v>
      </c>
      <c r="B231" s="1">
        <v>122</v>
      </c>
      <c r="C231" s="3" t="s">
        <v>49</v>
      </c>
      <c r="D231" s="5" t="s">
        <v>23</v>
      </c>
      <c r="E231" s="10">
        <v>2.35</v>
      </c>
      <c r="F231" s="10">
        <v>8.41</v>
      </c>
      <c r="G231" s="10">
        <v>3.85</v>
      </c>
      <c r="H231" s="10">
        <v>1.82</v>
      </c>
      <c r="I231" s="8">
        <f t="shared" si="13"/>
        <v>2.6015589600000002</v>
      </c>
      <c r="K231" s="8">
        <f t="shared" si="12"/>
        <v>4.5389882756530318</v>
      </c>
      <c r="L231" s="8">
        <f t="shared" si="14"/>
        <v>2.2694941378265159</v>
      </c>
    </row>
    <row r="232" spans="1:12" x14ac:dyDescent="0.25">
      <c r="A232" s="1">
        <v>231</v>
      </c>
      <c r="B232" s="1">
        <v>123</v>
      </c>
      <c r="C232" s="3" t="s">
        <v>49</v>
      </c>
      <c r="D232" s="5" t="s">
        <v>23</v>
      </c>
      <c r="E232" s="10">
        <v>1.89</v>
      </c>
      <c r="F232" s="10">
        <v>11.26</v>
      </c>
      <c r="G232" s="10">
        <v>5.12</v>
      </c>
      <c r="H232" s="10">
        <v>2.0099999999999998</v>
      </c>
      <c r="I232" s="8">
        <f t="shared" si="13"/>
        <v>3.1730945399999992</v>
      </c>
      <c r="K232" s="8">
        <f t="shared" si="12"/>
        <v>8.1740899044474382</v>
      </c>
      <c r="L232" s="8">
        <f t="shared" si="14"/>
        <v>4.0870449522237191</v>
      </c>
    </row>
    <row r="233" spans="1:12" x14ac:dyDescent="0.25">
      <c r="A233" s="1">
        <v>232</v>
      </c>
      <c r="B233" s="1">
        <v>124</v>
      </c>
      <c r="C233" s="3" t="s">
        <v>49</v>
      </c>
      <c r="D233" s="5" t="s">
        <v>23</v>
      </c>
      <c r="E233" s="10">
        <v>1.96</v>
      </c>
      <c r="F233" s="10">
        <v>10.6</v>
      </c>
      <c r="G233" s="10">
        <v>3.71</v>
      </c>
      <c r="H233" s="10">
        <v>1.73</v>
      </c>
      <c r="I233" s="8">
        <f t="shared" si="13"/>
        <v>2.3506236600000001</v>
      </c>
      <c r="K233" s="8">
        <f t="shared" si="12"/>
        <v>4.2049797441830394</v>
      </c>
      <c r="L233" s="8">
        <f t="shared" si="14"/>
        <v>2.1024898720915197</v>
      </c>
    </row>
    <row r="234" spans="1:12" x14ac:dyDescent="0.25">
      <c r="A234" s="1">
        <v>233</v>
      </c>
      <c r="B234" s="1">
        <v>125</v>
      </c>
      <c r="C234" s="3" t="s">
        <v>49</v>
      </c>
      <c r="D234" s="5" t="s">
        <v>23</v>
      </c>
      <c r="E234" s="10">
        <v>1.65</v>
      </c>
      <c r="F234" s="10">
        <v>7.98</v>
      </c>
      <c r="G234" s="10">
        <f>F234-2</f>
        <v>5.98</v>
      </c>
      <c r="H234" s="10">
        <v>1.68</v>
      </c>
      <c r="I234" s="8">
        <f t="shared" si="13"/>
        <v>2.2167129599999997</v>
      </c>
      <c r="K234" s="8">
        <f t="shared" si="12"/>
        <v>11.261175810425993</v>
      </c>
      <c r="L234" s="8">
        <f t="shared" si="14"/>
        <v>5.6305879052129963</v>
      </c>
    </row>
    <row r="235" spans="1:12" x14ac:dyDescent="0.25">
      <c r="A235" s="1">
        <v>234</v>
      </c>
      <c r="B235" s="1">
        <v>126</v>
      </c>
      <c r="C235" s="3" t="s">
        <v>49</v>
      </c>
      <c r="D235" s="5" t="s">
        <v>23</v>
      </c>
      <c r="E235" s="10">
        <v>1.87</v>
      </c>
      <c r="F235" s="10">
        <v>5.16</v>
      </c>
      <c r="G235" s="10">
        <v>3.44</v>
      </c>
      <c r="H235" s="10">
        <v>2.06</v>
      </c>
      <c r="I235" s="8">
        <f t="shared" si="13"/>
        <v>3.3329234399999996</v>
      </c>
      <c r="K235" s="8">
        <f t="shared" si="12"/>
        <v>3.5979008570568758</v>
      </c>
      <c r="L235" s="8">
        <f t="shared" si="14"/>
        <v>1.7989504285284379</v>
      </c>
    </row>
    <row r="236" spans="1:12" x14ac:dyDescent="0.25">
      <c r="A236" s="1">
        <v>235</v>
      </c>
      <c r="B236" s="1">
        <v>127</v>
      </c>
      <c r="C236" s="3" t="s">
        <v>49</v>
      </c>
      <c r="D236" s="5" t="s">
        <v>23</v>
      </c>
      <c r="E236" s="10">
        <v>1.1000000000000001</v>
      </c>
      <c r="F236" s="10">
        <v>6.88</v>
      </c>
      <c r="G236" s="10">
        <v>6.57</v>
      </c>
      <c r="H236" s="10">
        <v>1.9</v>
      </c>
      <c r="I236" s="8">
        <f t="shared" si="13"/>
        <v>2.8352939999999998</v>
      </c>
      <c r="K236" s="8">
        <f t="shared" si="12"/>
        <v>13.674359258922472</v>
      </c>
      <c r="L236" s="8">
        <f t="shared" si="14"/>
        <v>6.8371796294612359</v>
      </c>
    </row>
    <row r="237" spans="1:12" x14ac:dyDescent="0.25">
      <c r="A237" s="1">
        <v>236</v>
      </c>
      <c r="B237" s="1">
        <v>128</v>
      </c>
      <c r="C237" s="3" t="s">
        <v>49</v>
      </c>
      <c r="D237" s="5" t="s">
        <v>23</v>
      </c>
      <c r="E237" s="10">
        <v>1.72</v>
      </c>
      <c r="F237" s="10">
        <v>8.7899999999999991</v>
      </c>
      <c r="G237" s="10">
        <f>F237-2</f>
        <v>6.7899999999999991</v>
      </c>
      <c r="H237" s="10">
        <v>1.79</v>
      </c>
      <c r="I237" s="8">
        <f t="shared" si="13"/>
        <v>2.5165001399999998</v>
      </c>
      <c r="K237" s="8">
        <f t="shared" si="12"/>
        <v>14.636058100707912</v>
      </c>
      <c r="L237" s="8">
        <f t="shared" si="14"/>
        <v>7.3180290503539558</v>
      </c>
    </row>
    <row r="238" spans="1:12" x14ac:dyDescent="0.25">
      <c r="A238" s="1">
        <v>237</v>
      </c>
      <c r="B238" s="1">
        <v>129</v>
      </c>
      <c r="C238" s="3" t="s">
        <v>49</v>
      </c>
      <c r="D238" s="5" t="s">
        <v>23</v>
      </c>
      <c r="E238" s="10">
        <v>2.11</v>
      </c>
      <c r="F238" s="10">
        <v>9.43</v>
      </c>
      <c r="G238" s="10">
        <v>8.6999999999999993</v>
      </c>
      <c r="H238" s="10">
        <v>1.75</v>
      </c>
      <c r="I238" s="8">
        <f t="shared" si="13"/>
        <v>2.4052875</v>
      </c>
      <c r="K238" s="8">
        <f t="shared" si="12"/>
        <v>24.409496621584523</v>
      </c>
      <c r="L238" s="8">
        <f t="shared" si="14"/>
        <v>12.204748310792262</v>
      </c>
    </row>
    <row r="239" spans="1:12" x14ac:dyDescent="0.25">
      <c r="A239" s="1">
        <v>238</v>
      </c>
      <c r="B239" s="1">
        <v>130</v>
      </c>
      <c r="C239" s="3" t="s">
        <v>49</v>
      </c>
      <c r="D239" s="5" t="s">
        <v>23</v>
      </c>
      <c r="E239" s="10">
        <v>1.1000000000000001</v>
      </c>
      <c r="F239" s="10">
        <v>6.81</v>
      </c>
      <c r="G239" s="10">
        <f>F239-2</f>
        <v>4.8099999999999996</v>
      </c>
      <c r="H239" s="10">
        <v>1.79</v>
      </c>
      <c r="I239" s="8">
        <f t="shared" si="13"/>
        <v>2.5165001399999998</v>
      </c>
      <c r="K239" s="8">
        <f t="shared" ref="K239:K302" si="15">0.2811*G239^2.0635</f>
        <v>7.185669044288999</v>
      </c>
      <c r="L239" s="8">
        <f t="shared" si="14"/>
        <v>3.5928345221444995</v>
      </c>
    </row>
    <row r="240" spans="1:12" x14ac:dyDescent="0.25">
      <c r="A240" s="1">
        <v>239</v>
      </c>
      <c r="B240" s="1">
        <v>131</v>
      </c>
      <c r="C240" s="3" t="s">
        <v>49</v>
      </c>
      <c r="D240" s="5" t="s">
        <v>23</v>
      </c>
      <c r="E240" s="10">
        <v>1.66</v>
      </c>
      <c r="F240" s="10">
        <v>5.98</v>
      </c>
      <c r="G240" s="10">
        <v>5.14</v>
      </c>
      <c r="H240" s="10">
        <v>1.93</v>
      </c>
      <c r="I240" s="8">
        <f t="shared" si="13"/>
        <v>2.92553646</v>
      </c>
      <c r="K240" s="8">
        <f t="shared" si="15"/>
        <v>8.2401144089858835</v>
      </c>
      <c r="L240" s="8">
        <f t="shared" si="14"/>
        <v>4.1200572044929418</v>
      </c>
    </row>
    <row r="241" spans="1:12" x14ac:dyDescent="0.25">
      <c r="A241" s="1">
        <v>240</v>
      </c>
      <c r="B241" s="1">
        <v>132</v>
      </c>
      <c r="C241" s="3" t="s">
        <v>49</v>
      </c>
      <c r="D241" s="5" t="s">
        <v>23</v>
      </c>
      <c r="E241" s="10">
        <v>1.26</v>
      </c>
      <c r="F241" s="10">
        <v>10.84</v>
      </c>
      <c r="G241" s="10">
        <v>7.37</v>
      </c>
      <c r="H241" s="10">
        <v>1.85</v>
      </c>
      <c r="I241" s="8">
        <f t="shared" si="13"/>
        <v>2.6880315000000001</v>
      </c>
      <c r="K241" s="8">
        <f t="shared" si="15"/>
        <v>17.333250233429752</v>
      </c>
      <c r="L241" s="8">
        <f t="shared" si="14"/>
        <v>8.6666251167148758</v>
      </c>
    </row>
    <row r="242" spans="1:12" x14ac:dyDescent="0.25">
      <c r="A242" s="1">
        <v>241</v>
      </c>
      <c r="B242" s="1">
        <v>133</v>
      </c>
      <c r="C242" s="3" t="s">
        <v>49</v>
      </c>
      <c r="D242" s="5" t="s">
        <v>23</v>
      </c>
      <c r="E242" s="10">
        <v>2.12</v>
      </c>
      <c r="F242" s="10">
        <v>11.89</v>
      </c>
      <c r="G242" s="10">
        <v>6.69</v>
      </c>
      <c r="H242" s="10">
        <v>1.87</v>
      </c>
      <c r="I242" s="8">
        <f t="shared" si="13"/>
        <v>2.7464652600000004</v>
      </c>
      <c r="K242" s="8">
        <f t="shared" si="15"/>
        <v>14.194746455341846</v>
      </c>
      <c r="L242" s="8">
        <f t="shared" si="14"/>
        <v>7.0973732276709232</v>
      </c>
    </row>
    <row r="243" spans="1:12" x14ac:dyDescent="0.25">
      <c r="A243" s="1">
        <v>242</v>
      </c>
      <c r="B243" s="1">
        <v>134</v>
      </c>
      <c r="C243" s="3" t="s">
        <v>49</v>
      </c>
      <c r="D243" s="5" t="s">
        <v>23</v>
      </c>
      <c r="E243" s="10">
        <v>1.69</v>
      </c>
      <c r="F243" s="10">
        <v>8.68</v>
      </c>
      <c r="G243" s="10">
        <v>5.98</v>
      </c>
      <c r="H243" s="10">
        <v>1.91</v>
      </c>
      <c r="I243" s="8">
        <f t="shared" si="13"/>
        <v>2.8652177399999998</v>
      </c>
      <c r="K243" s="8">
        <f t="shared" si="15"/>
        <v>11.261175810425993</v>
      </c>
      <c r="L243" s="8">
        <f t="shared" si="14"/>
        <v>5.6305879052129963</v>
      </c>
    </row>
    <row r="244" spans="1:12" x14ac:dyDescent="0.25">
      <c r="A244" s="1">
        <v>243</v>
      </c>
      <c r="B244" s="1">
        <v>135</v>
      </c>
      <c r="C244" s="3" t="s">
        <v>49</v>
      </c>
      <c r="D244" s="5" t="s">
        <v>23</v>
      </c>
      <c r="E244" s="10">
        <v>1.76</v>
      </c>
      <c r="F244" s="10">
        <v>6.2</v>
      </c>
      <c r="G244" s="10">
        <v>3.91</v>
      </c>
      <c r="H244" s="10">
        <v>1.89</v>
      </c>
      <c r="I244" s="8">
        <f t="shared" si="13"/>
        <v>2.8055273399999998</v>
      </c>
      <c r="K244" s="8">
        <f t="shared" si="15"/>
        <v>4.6861650911010058</v>
      </c>
      <c r="L244" s="8">
        <f t="shared" si="14"/>
        <v>2.3430825455505029</v>
      </c>
    </row>
    <row r="245" spans="1:12" x14ac:dyDescent="0.25">
      <c r="A245" s="1">
        <v>244</v>
      </c>
      <c r="B245" s="1">
        <v>136</v>
      </c>
      <c r="C245" s="3" t="s">
        <v>49</v>
      </c>
      <c r="D245" s="5" t="s">
        <v>23</v>
      </c>
      <c r="E245" s="10">
        <v>2.06</v>
      </c>
      <c r="F245" s="10">
        <v>6.91</v>
      </c>
      <c r="G245" s="10">
        <f>F245-2</f>
        <v>4.91</v>
      </c>
      <c r="H245" s="10">
        <v>1.81</v>
      </c>
      <c r="I245" s="8">
        <f t="shared" si="13"/>
        <v>2.5730489400000001</v>
      </c>
      <c r="K245" s="8">
        <f t="shared" si="15"/>
        <v>7.4973451497852759</v>
      </c>
      <c r="L245" s="8">
        <f t="shared" si="14"/>
        <v>3.7486725748926379</v>
      </c>
    </row>
    <row r="246" spans="1:12" x14ac:dyDescent="0.25">
      <c r="A246" s="1">
        <v>245</v>
      </c>
      <c r="B246" s="1">
        <v>137</v>
      </c>
      <c r="C246" s="3" t="s">
        <v>49</v>
      </c>
      <c r="D246" s="5" t="s">
        <v>23</v>
      </c>
      <c r="E246" s="10">
        <v>1.62</v>
      </c>
      <c r="F246" s="10">
        <v>5.13</v>
      </c>
      <c r="G246" s="10">
        <f>F246-2</f>
        <v>3.13</v>
      </c>
      <c r="H246" s="10">
        <v>1.89</v>
      </c>
      <c r="I246" s="8">
        <f t="shared" si="13"/>
        <v>2.8055273399999998</v>
      </c>
      <c r="K246" s="8">
        <f t="shared" si="15"/>
        <v>2.9608512274163559</v>
      </c>
      <c r="L246" s="8">
        <f t="shared" si="14"/>
        <v>1.4804256137081779</v>
      </c>
    </row>
    <row r="247" spans="1:12" x14ac:dyDescent="0.25">
      <c r="A247" s="1">
        <v>246</v>
      </c>
      <c r="B247" s="1">
        <v>138</v>
      </c>
      <c r="C247" s="3" t="s">
        <v>49</v>
      </c>
      <c r="D247" s="5" t="s">
        <v>23</v>
      </c>
      <c r="E247" s="10">
        <v>1.52</v>
      </c>
      <c r="F247" s="10">
        <v>11.4</v>
      </c>
      <c r="G247" s="10">
        <v>4.3600000000000003</v>
      </c>
      <c r="H247" s="10">
        <v>1.8</v>
      </c>
      <c r="I247" s="8">
        <f t="shared" si="13"/>
        <v>2.5446960000000001</v>
      </c>
      <c r="K247" s="8">
        <f t="shared" si="15"/>
        <v>5.8673394706325999</v>
      </c>
      <c r="L247" s="8">
        <f t="shared" si="14"/>
        <v>2.9336697353162999</v>
      </c>
    </row>
    <row r="248" spans="1:12" x14ac:dyDescent="0.25">
      <c r="A248" s="1">
        <v>247</v>
      </c>
      <c r="B248" s="1">
        <v>139</v>
      </c>
      <c r="C248" s="3" t="s">
        <v>49</v>
      </c>
      <c r="D248" s="5" t="s">
        <v>23</v>
      </c>
      <c r="E248" s="10">
        <v>1.22</v>
      </c>
      <c r="F248" s="10">
        <v>5.82</v>
      </c>
      <c r="G248" s="10">
        <f>F248-2</f>
        <v>3.8200000000000003</v>
      </c>
      <c r="H248" s="10">
        <v>2.0499999999999998</v>
      </c>
      <c r="I248" s="8">
        <f t="shared" si="13"/>
        <v>3.3006434999999996</v>
      </c>
      <c r="K248" s="8">
        <f t="shared" si="15"/>
        <v>4.4663072382551352</v>
      </c>
      <c r="L248" s="8">
        <f t="shared" si="14"/>
        <v>2.2331536191275676</v>
      </c>
    </row>
    <row r="249" spans="1:12" x14ac:dyDescent="0.25">
      <c r="A249" s="1">
        <v>248</v>
      </c>
      <c r="B249" s="1">
        <v>140</v>
      </c>
      <c r="C249" s="3" t="s">
        <v>49</v>
      </c>
      <c r="D249" s="5" t="s">
        <v>23</v>
      </c>
      <c r="E249" s="10">
        <v>1.35</v>
      </c>
      <c r="F249" s="10">
        <v>9.0399999999999991</v>
      </c>
      <c r="G249" s="10">
        <v>5.9</v>
      </c>
      <c r="H249" s="10">
        <v>2.0499999999999998</v>
      </c>
      <c r="I249" s="8">
        <f t="shared" si="13"/>
        <v>3.3006434999999996</v>
      </c>
      <c r="K249" s="8">
        <f t="shared" si="15"/>
        <v>10.952517900021304</v>
      </c>
      <c r="L249" s="8">
        <f t="shared" si="14"/>
        <v>5.476258950010652</v>
      </c>
    </row>
    <row r="250" spans="1:12" x14ac:dyDescent="0.25">
      <c r="A250" s="1">
        <v>249</v>
      </c>
      <c r="B250" s="1">
        <v>141</v>
      </c>
      <c r="C250" s="3" t="s">
        <v>49</v>
      </c>
      <c r="D250" s="5" t="s">
        <v>23</v>
      </c>
      <c r="E250" s="10">
        <v>2.34</v>
      </c>
      <c r="F250" s="10">
        <v>6.92</v>
      </c>
      <c r="G250" s="10">
        <f>F250-2</f>
        <v>4.92</v>
      </c>
      <c r="H250" s="10">
        <v>1.97</v>
      </c>
      <c r="I250" s="8">
        <f t="shared" si="13"/>
        <v>3.0480588599999998</v>
      </c>
      <c r="K250" s="8">
        <f t="shared" si="15"/>
        <v>7.5288879750190141</v>
      </c>
      <c r="L250" s="8">
        <f t="shared" si="14"/>
        <v>3.764443987509507</v>
      </c>
    </row>
    <row r="251" spans="1:12" x14ac:dyDescent="0.25">
      <c r="A251" s="1">
        <v>250</v>
      </c>
      <c r="B251" s="1">
        <v>142</v>
      </c>
      <c r="C251" s="3" t="s">
        <v>49</v>
      </c>
      <c r="D251" s="5" t="s">
        <v>23</v>
      </c>
      <c r="E251" s="10">
        <v>1.55</v>
      </c>
      <c r="F251" s="10">
        <v>8.8800000000000008</v>
      </c>
      <c r="G251" s="10">
        <v>8.14</v>
      </c>
      <c r="H251" s="10">
        <v>1.79</v>
      </c>
      <c r="I251" s="8">
        <f t="shared" si="13"/>
        <v>2.5165001399999998</v>
      </c>
      <c r="K251" s="8">
        <f t="shared" si="15"/>
        <v>21.278171507669274</v>
      </c>
      <c r="L251" s="8">
        <f t="shared" si="14"/>
        <v>10.639085753834637</v>
      </c>
    </row>
    <row r="252" spans="1:12" x14ac:dyDescent="0.25">
      <c r="A252" s="1">
        <v>251</v>
      </c>
      <c r="B252" s="1">
        <v>143</v>
      </c>
      <c r="C252" s="3" t="s">
        <v>49</v>
      </c>
      <c r="D252" s="5" t="s">
        <v>23</v>
      </c>
      <c r="E252" s="10">
        <v>2.4</v>
      </c>
      <c r="F252" s="10">
        <v>9.56</v>
      </c>
      <c r="G252" s="10">
        <v>8.39</v>
      </c>
      <c r="H252" s="10">
        <v>1.91</v>
      </c>
      <c r="I252" s="8">
        <f t="shared" si="13"/>
        <v>2.8652177399999998</v>
      </c>
      <c r="K252" s="8">
        <f t="shared" si="15"/>
        <v>22.648719428077055</v>
      </c>
      <c r="L252" s="8">
        <f t="shared" si="14"/>
        <v>11.324359714038527</v>
      </c>
    </row>
    <row r="253" spans="1:12" x14ac:dyDescent="0.25">
      <c r="A253" s="1">
        <v>252</v>
      </c>
      <c r="B253" s="1">
        <v>144</v>
      </c>
      <c r="C253" s="3" t="s">
        <v>49</v>
      </c>
      <c r="D253" s="5" t="s">
        <v>23</v>
      </c>
      <c r="E253" s="10">
        <v>1.56</v>
      </c>
      <c r="F253" s="10">
        <v>10.81</v>
      </c>
      <c r="G253" s="10">
        <v>3.08</v>
      </c>
      <c r="H253" s="10">
        <v>1.87</v>
      </c>
      <c r="I253" s="8">
        <f t="shared" si="13"/>
        <v>2.7464652600000004</v>
      </c>
      <c r="K253" s="8">
        <f t="shared" si="15"/>
        <v>2.8640806892143513</v>
      </c>
      <c r="L253" s="8">
        <f t="shared" si="14"/>
        <v>1.4320403446071757</v>
      </c>
    </row>
    <row r="254" spans="1:12" x14ac:dyDescent="0.25">
      <c r="A254" s="1">
        <v>253</v>
      </c>
      <c r="B254" s="1">
        <v>145</v>
      </c>
      <c r="C254" s="3" t="s">
        <v>49</v>
      </c>
      <c r="D254" s="5" t="s">
        <v>23</v>
      </c>
      <c r="E254" s="10">
        <v>1.81</v>
      </c>
      <c r="F254" s="10">
        <v>6.44</v>
      </c>
      <c r="G254" s="10">
        <v>5.91</v>
      </c>
      <c r="H254" s="10">
        <v>1.82</v>
      </c>
      <c r="I254" s="8">
        <f t="shared" si="13"/>
        <v>2.6015589600000002</v>
      </c>
      <c r="K254" s="8">
        <f t="shared" si="15"/>
        <v>10.990858392589539</v>
      </c>
      <c r="L254" s="8">
        <f t="shared" si="14"/>
        <v>5.4954291962947694</v>
      </c>
    </row>
    <row r="255" spans="1:12" x14ac:dyDescent="0.25">
      <c r="A255" s="1">
        <v>254</v>
      </c>
      <c r="B255" s="1">
        <v>146</v>
      </c>
      <c r="C255" s="3" t="s">
        <v>49</v>
      </c>
      <c r="D255" s="5" t="s">
        <v>23</v>
      </c>
      <c r="E255" s="10">
        <v>2.0699999999999998</v>
      </c>
      <c r="F255" s="10">
        <v>5.08</v>
      </c>
      <c r="G255" s="10">
        <f>F255-2</f>
        <v>3.08</v>
      </c>
      <c r="H255" s="10">
        <v>2</v>
      </c>
      <c r="I255" s="8">
        <f t="shared" si="13"/>
        <v>3.1415999999999999</v>
      </c>
      <c r="K255" s="8">
        <f t="shared" si="15"/>
        <v>2.8640806892143513</v>
      </c>
      <c r="L255" s="8">
        <f t="shared" si="14"/>
        <v>1.4320403446071757</v>
      </c>
    </row>
    <row r="256" spans="1:12" x14ac:dyDescent="0.25">
      <c r="A256" s="1">
        <v>255</v>
      </c>
      <c r="B256" s="1">
        <v>147</v>
      </c>
      <c r="C256" s="3" t="s">
        <v>49</v>
      </c>
      <c r="D256" s="5" t="s">
        <v>23</v>
      </c>
      <c r="E256" s="10">
        <v>1.21</v>
      </c>
      <c r="F256" s="10">
        <v>5.96</v>
      </c>
      <c r="G256" s="10">
        <v>3.13</v>
      </c>
      <c r="H256" s="10">
        <v>1.99</v>
      </c>
      <c r="I256" s="8">
        <f t="shared" si="13"/>
        <v>3.1102625399999999</v>
      </c>
      <c r="K256" s="8">
        <f t="shared" si="15"/>
        <v>2.9608512274163559</v>
      </c>
      <c r="L256" s="8">
        <f t="shared" si="14"/>
        <v>1.4804256137081779</v>
      </c>
    </row>
    <row r="257" spans="1:12" x14ac:dyDescent="0.25">
      <c r="A257" s="1">
        <v>256</v>
      </c>
      <c r="B257" s="1">
        <v>148</v>
      </c>
      <c r="C257" s="3" t="s">
        <v>49</v>
      </c>
      <c r="D257" s="5" t="s">
        <v>23</v>
      </c>
      <c r="E257" s="10">
        <v>2.36</v>
      </c>
      <c r="F257" s="10">
        <v>11.3</v>
      </c>
      <c r="G257" s="10">
        <v>4.82</v>
      </c>
      <c r="H257" s="10">
        <v>2.02</v>
      </c>
      <c r="I257" s="8">
        <f t="shared" si="13"/>
        <v>3.20474616</v>
      </c>
      <c r="K257" s="8">
        <f t="shared" si="15"/>
        <v>7.2165297945497864</v>
      </c>
      <c r="L257" s="8">
        <f t="shared" si="14"/>
        <v>3.6082648972748932</v>
      </c>
    </row>
    <row r="258" spans="1:12" x14ac:dyDescent="0.25">
      <c r="A258" s="1">
        <v>257</v>
      </c>
      <c r="B258" s="1">
        <v>149</v>
      </c>
      <c r="C258" s="3" t="s">
        <v>49</v>
      </c>
      <c r="D258" s="5" t="s">
        <v>23</v>
      </c>
      <c r="E258" s="10">
        <v>1.63</v>
      </c>
      <c r="F258" s="10">
        <v>11.12</v>
      </c>
      <c r="G258" s="10">
        <v>8.32</v>
      </c>
      <c r="H258" s="10">
        <v>2.08</v>
      </c>
      <c r="I258" s="8">
        <f t="shared" si="13"/>
        <v>3.3979545600000005</v>
      </c>
      <c r="K258" s="8">
        <f t="shared" si="15"/>
        <v>22.260521244728711</v>
      </c>
      <c r="L258" s="8">
        <f t="shared" si="14"/>
        <v>11.130260622364355</v>
      </c>
    </row>
    <row r="259" spans="1:12" x14ac:dyDescent="0.25">
      <c r="A259" s="1">
        <v>258</v>
      </c>
      <c r="B259" s="1">
        <v>150</v>
      </c>
      <c r="C259" s="3" t="s">
        <v>49</v>
      </c>
      <c r="D259" s="5" t="s">
        <v>23</v>
      </c>
      <c r="E259" s="10">
        <v>1.76</v>
      </c>
      <c r="F259" s="10">
        <v>9.18</v>
      </c>
      <c r="G259" s="10">
        <v>3.96</v>
      </c>
      <c r="H259" s="10">
        <v>1.75</v>
      </c>
      <c r="I259" s="8">
        <f t="shared" ref="I259:I322" si="16">0.7854*H259^2</f>
        <v>2.4052875</v>
      </c>
      <c r="K259" s="8">
        <f t="shared" si="15"/>
        <v>4.8106621947470236</v>
      </c>
      <c r="L259" s="8">
        <f t="shared" ref="L259:L322" si="17">K259*0.5</f>
        <v>2.4053310973735118</v>
      </c>
    </row>
    <row r="260" spans="1:12" x14ac:dyDescent="0.25">
      <c r="A260" s="1">
        <v>259</v>
      </c>
      <c r="B260" s="1">
        <v>151</v>
      </c>
      <c r="C260" s="3" t="s">
        <v>49</v>
      </c>
      <c r="D260" s="5" t="s">
        <v>23</v>
      </c>
      <c r="E260" s="10">
        <v>1.45</v>
      </c>
      <c r="F260" s="10">
        <v>9.1999999999999993</v>
      </c>
      <c r="G260" s="10">
        <v>6.75</v>
      </c>
      <c r="H260" s="10">
        <v>1.78</v>
      </c>
      <c r="I260" s="8">
        <f t="shared" si="16"/>
        <v>2.4884613600000001</v>
      </c>
      <c r="K260" s="8">
        <f t="shared" si="15"/>
        <v>14.458697805914014</v>
      </c>
      <c r="L260" s="8">
        <f t="shared" si="17"/>
        <v>7.2293489029570068</v>
      </c>
    </row>
    <row r="261" spans="1:12" x14ac:dyDescent="0.25">
      <c r="A261" s="1">
        <v>260</v>
      </c>
      <c r="B261" s="1">
        <v>152</v>
      </c>
      <c r="C261" s="3" t="s">
        <v>49</v>
      </c>
      <c r="D261" s="5" t="s">
        <v>23</v>
      </c>
      <c r="E261" s="10">
        <v>2.0499999999999998</v>
      </c>
      <c r="F261" s="10">
        <v>9.66</v>
      </c>
      <c r="G261" s="10">
        <v>4.51</v>
      </c>
      <c r="H261" s="10">
        <v>1.98</v>
      </c>
      <c r="I261" s="8">
        <f t="shared" si="16"/>
        <v>3.07908216</v>
      </c>
      <c r="K261" s="8">
        <f t="shared" si="15"/>
        <v>6.2914991138914473</v>
      </c>
      <c r="L261" s="8">
        <f t="shared" si="17"/>
        <v>3.1457495569457237</v>
      </c>
    </row>
    <row r="262" spans="1:12" x14ac:dyDescent="0.25">
      <c r="A262" s="1">
        <v>261</v>
      </c>
      <c r="B262" s="1">
        <v>153</v>
      </c>
      <c r="C262" s="3" t="s">
        <v>49</v>
      </c>
      <c r="D262" s="5" t="s">
        <v>23</v>
      </c>
      <c r="E262" s="10">
        <v>1.52</v>
      </c>
      <c r="F262" s="10">
        <v>6.23</v>
      </c>
      <c r="G262" s="10">
        <v>3.08</v>
      </c>
      <c r="H262" s="10">
        <v>1.72</v>
      </c>
      <c r="I262" s="8">
        <f t="shared" si="16"/>
        <v>2.3235273599999999</v>
      </c>
      <c r="K262" s="8">
        <f t="shared" si="15"/>
        <v>2.8640806892143513</v>
      </c>
      <c r="L262" s="8">
        <f t="shared" si="17"/>
        <v>1.4320403446071757</v>
      </c>
    </row>
    <row r="263" spans="1:12" x14ac:dyDescent="0.25">
      <c r="A263" s="1">
        <v>262</v>
      </c>
      <c r="B263" s="1">
        <v>154</v>
      </c>
      <c r="C263" s="3" t="s">
        <v>49</v>
      </c>
      <c r="D263" s="5" t="s">
        <v>23</v>
      </c>
      <c r="E263" s="10">
        <v>2.31</v>
      </c>
      <c r="F263" s="10">
        <v>11.4</v>
      </c>
      <c r="G263" s="10">
        <v>4.6900000000000004</v>
      </c>
      <c r="H263" s="10">
        <v>1.73</v>
      </c>
      <c r="I263" s="8">
        <f t="shared" si="16"/>
        <v>2.3506236600000001</v>
      </c>
      <c r="K263" s="8">
        <f t="shared" si="15"/>
        <v>6.820653803202811</v>
      </c>
      <c r="L263" s="8">
        <f t="shared" si="17"/>
        <v>3.4103269016014055</v>
      </c>
    </row>
    <row r="264" spans="1:12" x14ac:dyDescent="0.25">
      <c r="A264" s="1">
        <v>263</v>
      </c>
      <c r="B264" s="1">
        <v>155</v>
      </c>
      <c r="C264" s="3" t="s">
        <v>49</v>
      </c>
      <c r="D264" s="5" t="s">
        <v>23</v>
      </c>
      <c r="E264" s="10">
        <v>1.53</v>
      </c>
      <c r="F264" s="10">
        <v>7.93</v>
      </c>
      <c r="G264" s="10">
        <f>F264-2</f>
        <v>5.93</v>
      </c>
      <c r="H264" s="10">
        <v>1.68</v>
      </c>
      <c r="I264" s="8">
        <f t="shared" si="16"/>
        <v>2.2167129599999997</v>
      </c>
      <c r="K264" s="8">
        <f t="shared" si="15"/>
        <v>11.067746551800935</v>
      </c>
      <c r="L264" s="8">
        <f t="shared" si="17"/>
        <v>5.5338732759004676</v>
      </c>
    </row>
    <row r="265" spans="1:12" x14ac:dyDescent="0.25">
      <c r="A265" s="1">
        <v>264</v>
      </c>
      <c r="B265" s="1">
        <v>156</v>
      </c>
      <c r="C265" s="3" t="s">
        <v>49</v>
      </c>
      <c r="D265" s="5" t="s">
        <v>23</v>
      </c>
      <c r="E265" s="10">
        <v>2.31</v>
      </c>
      <c r="F265" s="10">
        <v>7.68</v>
      </c>
      <c r="G265" s="10">
        <f>F265-2</f>
        <v>5.68</v>
      </c>
      <c r="H265" s="10">
        <v>1.72</v>
      </c>
      <c r="I265" s="8">
        <f t="shared" si="16"/>
        <v>2.3235273599999999</v>
      </c>
      <c r="K265" s="8">
        <f t="shared" si="15"/>
        <v>10.126482962250186</v>
      </c>
      <c r="L265" s="8">
        <f t="shared" si="17"/>
        <v>5.0632414811250932</v>
      </c>
    </row>
    <row r="266" spans="1:12" x14ac:dyDescent="0.25">
      <c r="A266" s="1">
        <v>265</v>
      </c>
      <c r="B266" s="1">
        <v>157</v>
      </c>
      <c r="C266" s="3" t="s">
        <v>49</v>
      </c>
      <c r="D266" s="5" t="s">
        <v>23</v>
      </c>
      <c r="E266" s="10">
        <v>1.4</v>
      </c>
      <c r="F266" s="10">
        <v>8.6300000000000008</v>
      </c>
      <c r="G266" s="10">
        <f>F266-2</f>
        <v>6.6300000000000008</v>
      </c>
      <c r="H266" s="10">
        <v>2.0099999999999998</v>
      </c>
      <c r="I266" s="8">
        <f t="shared" si="16"/>
        <v>3.1730945399999992</v>
      </c>
      <c r="K266" s="8">
        <f t="shared" si="15"/>
        <v>13.933300750687332</v>
      </c>
      <c r="L266" s="8">
        <f t="shared" si="17"/>
        <v>6.9666503753436659</v>
      </c>
    </row>
    <row r="267" spans="1:12" x14ac:dyDescent="0.25">
      <c r="A267" s="1">
        <v>266</v>
      </c>
      <c r="B267" s="1">
        <v>158</v>
      </c>
      <c r="C267" s="3" t="s">
        <v>49</v>
      </c>
      <c r="D267" s="5" t="s">
        <v>23</v>
      </c>
      <c r="E267" s="10">
        <v>1.18</v>
      </c>
      <c r="F267" s="10">
        <v>5.33</v>
      </c>
      <c r="G267" s="10">
        <f>F267-2</f>
        <v>3.33</v>
      </c>
      <c r="H267" s="10">
        <v>1.9</v>
      </c>
      <c r="I267" s="8">
        <f t="shared" si="16"/>
        <v>2.8352939999999998</v>
      </c>
      <c r="K267" s="8">
        <f t="shared" si="15"/>
        <v>3.3645309016355229</v>
      </c>
      <c r="L267" s="8">
        <f t="shared" si="17"/>
        <v>1.6822654508177615</v>
      </c>
    </row>
    <row r="268" spans="1:12" x14ac:dyDescent="0.25">
      <c r="A268" s="1">
        <v>267</v>
      </c>
      <c r="B268" s="1">
        <v>159</v>
      </c>
      <c r="C268" s="3" t="s">
        <v>49</v>
      </c>
      <c r="D268" s="5" t="s">
        <v>23</v>
      </c>
      <c r="E268" s="10">
        <v>1.75</v>
      </c>
      <c r="F268" s="10">
        <v>6.16</v>
      </c>
      <c r="G268" s="10">
        <v>3.77</v>
      </c>
      <c r="H268" s="10">
        <v>1.8</v>
      </c>
      <c r="I268" s="8">
        <f t="shared" si="16"/>
        <v>2.5446960000000001</v>
      </c>
      <c r="K268" s="8">
        <f t="shared" si="15"/>
        <v>4.3465153905747895</v>
      </c>
      <c r="L268" s="8">
        <f t="shared" si="17"/>
        <v>2.1732576952873948</v>
      </c>
    </row>
    <row r="269" spans="1:12" x14ac:dyDescent="0.25">
      <c r="A269" s="1">
        <v>268</v>
      </c>
      <c r="B269" s="1">
        <v>160</v>
      </c>
      <c r="C269" s="3" t="s">
        <v>49</v>
      </c>
      <c r="D269" s="5" t="s">
        <v>23</v>
      </c>
      <c r="E269" s="10">
        <v>1.8</v>
      </c>
      <c r="F269" s="10">
        <v>10.17</v>
      </c>
      <c r="G269" s="10">
        <v>6.84</v>
      </c>
      <c r="H269" s="10">
        <v>1.86</v>
      </c>
      <c r="I269" s="8">
        <f t="shared" si="16"/>
        <v>2.7171698400000004</v>
      </c>
      <c r="K269" s="8">
        <f t="shared" si="15"/>
        <v>14.859326023169654</v>
      </c>
      <c r="L269" s="8">
        <f t="shared" si="17"/>
        <v>7.429663011584827</v>
      </c>
    </row>
    <row r="270" spans="1:12" x14ac:dyDescent="0.25">
      <c r="A270" s="1">
        <v>269</v>
      </c>
      <c r="B270" s="1">
        <v>161</v>
      </c>
      <c r="C270" s="3" t="s">
        <v>49</v>
      </c>
      <c r="D270" s="5" t="s">
        <v>23</v>
      </c>
      <c r="E270" s="10">
        <v>2.34</v>
      </c>
      <c r="F270" s="10">
        <v>5.58</v>
      </c>
      <c r="G270" s="10">
        <f>F270-2</f>
        <v>3.58</v>
      </c>
      <c r="H270" s="10">
        <v>1.74</v>
      </c>
      <c r="I270" s="8">
        <f t="shared" si="16"/>
        <v>2.37787704</v>
      </c>
      <c r="K270" s="8">
        <f t="shared" si="15"/>
        <v>3.9065957304519769</v>
      </c>
      <c r="L270" s="8">
        <f t="shared" si="17"/>
        <v>1.9532978652259885</v>
      </c>
    </row>
    <row r="271" spans="1:12" x14ac:dyDescent="0.25">
      <c r="A271" s="1">
        <v>270</v>
      </c>
      <c r="B271" s="1">
        <v>162</v>
      </c>
      <c r="C271" s="3" t="s">
        <v>49</v>
      </c>
      <c r="D271" s="5" t="s">
        <v>23</v>
      </c>
      <c r="E271" s="10">
        <v>2.02</v>
      </c>
      <c r="F271" s="10">
        <v>9.2200000000000006</v>
      </c>
      <c r="G271" s="10">
        <v>8.91</v>
      </c>
      <c r="H271" s="10">
        <v>1.81</v>
      </c>
      <c r="I271" s="8">
        <f t="shared" si="16"/>
        <v>2.5730489400000001</v>
      </c>
      <c r="K271" s="8">
        <f t="shared" si="15"/>
        <v>25.640913163770968</v>
      </c>
      <c r="L271" s="8">
        <f t="shared" si="17"/>
        <v>12.820456581885484</v>
      </c>
    </row>
    <row r="272" spans="1:12" x14ac:dyDescent="0.25">
      <c r="A272" s="1">
        <v>271</v>
      </c>
      <c r="B272" s="1">
        <v>163</v>
      </c>
      <c r="C272" s="3" t="s">
        <v>49</v>
      </c>
      <c r="D272" s="5" t="s">
        <v>23</v>
      </c>
      <c r="E272" s="10">
        <v>2.31</v>
      </c>
      <c r="F272" s="10">
        <v>6.72</v>
      </c>
      <c r="G272" s="10">
        <v>3.69</v>
      </c>
      <c r="H272" s="10">
        <v>2.0299999999999998</v>
      </c>
      <c r="I272" s="8">
        <f t="shared" si="16"/>
        <v>3.2365548599999991</v>
      </c>
      <c r="K272" s="8">
        <f t="shared" si="15"/>
        <v>4.1583376669513124</v>
      </c>
      <c r="L272" s="8">
        <f t="shared" si="17"/>
        <v>2.0791688334756562</v>
      </c>
    </row>
    <row r="273" spans="1:12" x14ac:dyDescent="0.25">
      <c r="A273" s="1">
        <v>272</v>
      </c>
      <c r="B273" s="1">
        <v>164</v>
      </c>
      <c r="C273" s="3" t="s">
        <v>49</v>
      </c>
      <c r="D273" s="5" t="s">
        <v>23</v>
      </c>
      <c r="E273" s="10">
        <v>1.23</v>
      </c>
      <c r="F273" s="10">
        <v>7.73</v>
      </c>
      <c r="G273" s="10">
        <v>6.42</v>
      </c>
      <c r="H273" s="10">
        <v>1.79</v>
      </c>
      <c r="I273" s="8">
        <f t="shared" si="16"/>
        <v>2.5165001399999998</v>
      </c>
      <c r="K273" s="8">
        <f t="shared" si="15"/>
        <v>13.037951946007702</v>
      </c>
      <c r="L273" s="8">
        <f t="shared" si="17"/>
        <v>6.518975973003851</v>
      </c>
    </row>
    <row r="274" spans="1:12" x14ac:dyDescent="0.25">
      <c r="A274" s="1">
        <v>273</v>
      </c>
      <c r="B274" s="1">
        <v>165</v>
      </c>
      <c r="C274" s="3" t="s">
        <v>49</v>
      </c>
      <c r="D274" s="5" t="s">
        <v>23</v>
      </c>
      <c r="E274" s="10">
        <v>1.4</v>
      </c>
      <c r="F274" s="10">
        <v>7.02</v>
      </c>
      <c r="G274" s="10">
        <v>4.05</v>
      </c>
      <c r="H274" s="10">
        <v>1.75</v>
      </c>
      <c r="I274" s="8">
        <f t="shared" si="16"/>
        <v>2.4052875</v>
      </c>
      <c r="K274" s="8">
        <f t="shared" si="15"/>
        <v>5.0389991606024687</v>
      </c>
      <c r="L274" s="8">
        <f t="shared" si="17"/>
        <v>2.5194995803012343</v>
      </c>
    </row>
    <row r="275" spans="1:12" x14ac:dyDescent="0.25">
      <c r="A275" s="1">
        <v>274</v>
      </c>
      <c r="B275" s="1">
        <v>166</v>
      </c>
      <c r="C275" s="3" t="s">
        <v>49</v>
      </c>
      <c r="D275" s="5" t="s">
        <v>23</v>
      </c>
      <c r="E275" s="10">
        <v>1.32</v>
      </c>
      <c r="F275" s="10">
        <v>7.49</v>
      </c>
      <c r="G275" s="10">
        <v>5.27</v>
      </c>
      <c r="H275" s="10">
        <v>1.99</v>
      </c>
      <c r="I275" s="8">
        <f t="shared" si="16"/>
        <v>3.1102625399999999</v>
      </c>
      <c r="K275" s="8">
        <f t="shared" si="15"/>
        <v>8.6759501920459474</v>
      </c>
      <c r="L275" s="8">
        <f t="shared" si="17"/>
        <v>4.3379750960229737</v>
      </c>
    </row>
    <row r="276" spans="1:12" x14ac:dyDescent="0.25">
      <c r="A276" s="1">
        <v>275</v>
      </c>
      <c r="B276" s="1">
        <v>167</v>
      </c>
      <c r="C276" s="3" t="s">
        <v>49</v>
      </c>
      <c r="D276" s="5" t="s">
        <v>23</v>
      </c>
      <c r="E276" s="10">
        <v>2.17</v>
      </c>
      <c r="F276" s="10">
        <v>10.029999999999999</v>
      </c>
      <c r="G276" s="10">
        <v>8.16</v>
      </c>
      <c r="H276" s="10">
        <v>1.78</v>
      </c>
      <c r="I276" s="8">
        <f t="shared" si="16"/>
        <v>2.4884613600000001</v>
      </c>
      <c r="K276" s="8">
        <f t="shared" si="15"/>
        <v>21.386193314870717</v>
      </c>
      <c r="L276" s="8">
        <f t="shared" si="17"/>
        <v>10.693096657435358</v>
      </c>
    </row>
    <row r="277" spans="1:12" x14ac:dyDescent="0.25">
      <c r="A277" s="1">
        <v>276</v>
      </c>
      <c r="B277" s="1">
        <v>168</v>
      </c>
      <c r="C277" s="3" t="s">
        <v>49</v>
      </c>
      <c r="D277" s="5" t="s">
        <v>23</v>
      </c>
      <c r="E277" s="10">
        <v>2.19</v>
      </c>
      <c r="F277" s="10">
        <v>7.08</v>
      </c>
      <c r="G277" s="10">
        <v>6.33</v>
      </c>
      <c r="H277" s="10">
        <v>1.72</v>
      </c>
      <c r="I277" s="8">
        <f t="shared" si="16"/>
        <v>2.3235273599999999</v>
      </c>
      <c r="K277" s="8">
        <f t="shared" si="15"/>
        <v>12.663606328705612</v>
      </c>
      <c r="L277" s="8">
        <f t="shared" si="17"/>
        <v>6.3318031643528059</v>
      </c>
    </row>
    <row r="278" spans="1:12" x14ac:dyDescent="0.25">
      <c r="A278" s="1">
        <v>277</v>
      </c>
      <c r="B278" s="1">
        <v>169</v>
      </c>
      <c r="C278" s="3" t="s">
        <v>49</v>
      </c>
      <c r="D278" s="5" t="s">
        <v>23</v>
      </c>
      <c r="E278" s="10">
        <v>1.1599999999999999</v>
      </c>
      <c r="F278" s="10">
        <v>8.9600000000000009</v>
      </c>
      <c r="G278" s="10">
        <v>5.63</v>
      </c>
      <c r="H278" s="10">
        <v>1.88</v>
      </c>
      <c r="I278" s="8">
        <f t="shared" si="16"/>
        <v>2.7759177599999996</v>
      </c>
      <c r="K278" s="8">
        <f t="shared" si="15"/>
        <v>9.9434001821070446</v>
      </c>
      <c r="L278" s="8">
        <f t="shared" si="17"/>
        <v>4.9717000910535223</v>
      </c>
    </row>
    <row r="279" spans="1:12" x14ac:dyDescent="0.25">
      <c r="A279" s="1">
        <v>278</v>
      </c>
      <c r="B279" s="1">
        <v>170</v>
      </c>
      <c r="C279" s="3" t="s">
        <v>49</v>
      </c>
      <c r="D279" s="5" t="s">
        <v>23</v>
      </c>
      <c r="E279" s="10">
        <v>1.46</v>
      </c>
      <c r="F279" s="10">
        <v>8.33</v>
      </c>
      <c r="G279" s="10">
        <v>5.76</v>
      </c>
      <c r="H279" s="10">
        <v>2.0499999999999998</v>
      </c>
      <c r="I279" s="8">
        <f t="shared" si="16"/>
        <v>3.3006434999999996</v>
      </c>
      <c r="K279" s="8">
        <f t="shared" si="15"/>
        <v>10.422997657250791</v>
      </c>
      <c r="L279" s="8">
        <f t="shared" si="17"/>
        <v>5.2114988286253956</v>
      </c>
    </row>
    <row r="280" spans="1:12" x14ac:dyDescent="0.25">
      <c r="A280" s="1">
        <v>279</v>
      </c>
      <c r="B280" s="1">
        <v>171</v>
      </c>
      <c r="C280" s="3" t="s">
        <v>49</v>
      </c>
      <c r="D280" s="5" t="s">
        <v>23</v>
      </c>
      <c r="E280" s="10">
        <v>1.67</v>
      </c>
      <c r="F280" s="10">
        <v>9.65</v>
      </c>
      <c r="G280" s="10">
        <v>6.22</v>
      </c>
      <c r="H280" s="10">
        <v>1.87</v>
      </c>
      <c r="I280" s="8">
        <f t="shared" si="16"/>
        <v>2.7464652600000004</v>
      </c>
      <c r="K280" s="8">
        <f t="shared" si="15"/>
        <v>12.213701575445072</v>
      </c>
      <c r="L280" s="8">
        <f t="shared" si="17"/>
        <v>6.1068507877225358</v>
      </c>
    </row>
    <row r="281" spans="1:12" x14ac:dyDescent="0.25">
      <c r="A281" s="1">
        <v>280</v>
      </c>
      <c r="B281" s="1">
        <v>172</v>
      </c>
      <c r="C281" s="3" t="s">
        <v>49</v>
      </c>
      <c r="D281" s="5" t="s">
        <v>23</v>
      </c>
      <c r="E281" s="10">
        <v>1.51</v>
      </c>
      <c r="F281" s="10">
        <v>11.56</v>
      </c>
      <c r="G281" s="10">
        <v>8.5</v>
      </c>
      <c r="H281" s="10">
        <v>1.82</v>
      </c>
      <c r="I281" s="8">
        <f t="shared" si="16"/>
        <v>2.6015589600000002</v>
      </c>
      <c r="K281" s="8">
        <f t="shared" si="15"/>
        <v>23.265736162969681</v>
      </c>
      <c r="L281" s="8">
        <f t="shared" si="17"/>
        <v>11.63286808148484</v>
      </c>
    </row>
    <row r="282" spans="1:12" x14ac:dyDescent="0.25">
      <c r="A282" s="1">
        <v>281</v>
      </c>
      <c r="B282" s="1">
        <v>173</v>
      </c>
      <c r="C282" s="3" t="s">
        <v>49</v>
      </c>
      <c r="D282" s="5" t="s">
        <v>23</v>
      </c>
      <c r="E282" s="10">
        <v>2.19</v>
      </c>
      <c r="F282" s="10">
        <v>10.130000000000001</v>
      </c>
      <c r="G282" s="10">
        <v>9.24</v>
      </c>
      <c r="H282" s="10">
        <v>1.73</v>
      </c>
      <c r="I282" s="8">
        <f t="shared" si="16"/>
        <v>2.3506236600000001</v>
      </c>
      <c r="K282" s="8">
        <f t="shared" si="15"/>
        <v>27.639167525506846</v>
      </c>
      <c r="L282" s="8">
        <f t="shared" si="17"/>
        <v>13.819583762753423</v>
      </c>
    </row>
    <row r="283" spans="1:12" x14ac:dyDescent="0.25">
      <c r="A283" s="1">
        <v>282</v>
      </c>
      <c r="B283" s="1">
        <v>174</v>
      </c>
      <c r="C283" s="3" t="s">
        <v>49</v>
      </c>
      <c r="D283" s="5" t="s">
        <v>23</v>
      </c>
      <c r="E283" s="10">
        <v>1.3</v>
      </c>
      <c r="F283" s="10">
        <v>6.5</v>
      </c>
      <c r="G283" s="10">
        <f>F283-2</f>
        <v>4.5</v>
      </c>
      <c r="H283" s="10">
        <v>1.94</v>
      </c>
      <c r="I283" s="8">
        <f t="shared" si="16"/>
        <v>2.9559314399999996</v>
      </c>
      <c r="K283" s="8">
        <f t="shared" si="15"/>
        <v>6.262747002675594</v>
      </c>
      <c r="L283" s="8">
        <f t="shared" si="17"/>
        <v>3.131373501337797</v>
      </c>
    </row>
    <row r="284" spans="1:12" x14ac:dyDescent="0.25">
      <c r="A284" s="1">
        <v>283</v>
      </c>
      <c r="B284" s="1">
        <v>175</v>
      </c>
      <c r="C284" s="3" t="s">
        <v>49</v>
      </c>
      <c r="D284" s="5" t="s">
        <v>23</v>
      </c>
      <c r="E284" s="10">
        <v>1.29</v>
      </c>
      <c r="F284" s="10">
        <v>5.22</v>
      </c>
      <c r="G284" s="10">
        <f>F284-2</f>
        <v>3.2199999999999998</v>
      </c>
      <c r="H284" s="10">
        <v>1.9</v>
      </c>
      <c r="I284" s="8">
        <f t="shared" si="16"/>
        <v>2.8352939999999998</v>
      </c>
      <c r="K284" s="8">
        <f t="shared" si="15"/>
        <v>3.1392177176505425</v>
      </c>
      <c r="L284" s="8">
        <f t="shared" si="17"/>
        <v>1.5696088588252712</v>
      </c>
    </row>
    <row r="285" spans="1:12" x14ac:dyDescent="0.25">
      <c r="A285" s="1">
        <v>284</v>
      </c>
      <c r="B285" s="1">
        <v>176</v>
      </c>
      <c r="C285" s="3" t="s">
        <v>49</v>
      </c>
      <c r="D285" s="5" t="s">
        <v>23</v>
      </c>
      <c r="E285" s="10">
        <v>1.71</v>
      </c>
      <c r="F285" s="10">
        <v>6.84</v>
      </c>
      <c r="G285" s="10">
        <v>5.21</v>
      </c>
      <c r="H285" s="10">
        <v>1.76</v>
      </c>
      <c r="I285" s="8">
        <f t="shared" si="16"/>
        <v>2.4328550399999997</v>
      </c>
      <c r="K285" s="8">
        <f t="shared" si="15"/>
        <v>8.4733566706946757</v>
      </c>
      <c r="L285" s="8">
        <f t="shared" si="17"/>
        <v>4.2366783353473378</v>
      </c>
    </row>
    <row r="286" spans="1:12" x14ac:dyDescent="0.25">
      <c r="A286" s="1">
        <v>285</v>
      </c>
      <c r="B286" s="1">
        <v>177</v>
      </c>
      <c r="C286" s="3" t="s">
        <v>49</v>
      </c>
      <c r="D286" s="5" t="s">
        <v>23</v>
      </c>
      <c r="E286" s="10">
        <v>1.31</v>
      </c>
      <c r="F286" s="10">
        <v>9.17</v>
      </c>
      <c r="G286" s="10">
        <v>7.82</v>
      </c>
      <c r="H286" s="10">
        <v>1.85</v>
      </c>
      <c r="I286" s="8">
        <f t="shared" si="16"/>
        <v>2.6880315000000001</v>
      </c>
      <c r="K286" s="8">
        <f t="shared" si="15"/>
        <v>19.58813013172561</v>
      </c>
      <c r="L286" s="8">
        <f t="shared" si="17"/>
        <v>9.7940650658628048</v>
      </c>
    </row>
    <row r="287" spans="1:12" x14ac:dyDescent="0.25">
      <c r="A287" s="1">
        <v>286</v>
      </c>
      <c r="B287" s="1">
        <v>178</v>
      </c>
      <c r="C287" s="3" t="s">
        <v>49</v>
      </c>
      <c r="D287" s="5" t="s">
        <v>23</v>
      </c>
      <c r="E287" s="10">
        <v>2.08</v>
      </c>
      <c r="F287" s="10">
        <v>5.36</v>
      </c>
      <c r="G287" s="10">
        <f>F287-2</f>
        <v>3.3600000000000003</v>
      </c>
      <c r="H287" s="10">
        <v>2.0499999999999998</v>
      </c>
      <c r="I287" s="8">
        <f t="shared" si="16"/>
        <v>3.3006434999999996</v>
      </c>
      <c r="K287" s="8">
        <f t="shared" si="15"/>
        <v>3.4273775248412384</v>
      </c>
      <c r="L287" s="8">
        <f t="shared" si="17"/>
        <v>1.7136887624206192</v>
      </c>
    </row>
    <row r="288" spans="1:12" x14ac:dyDescent="0.25">
      <c r="A288" s="1">
        <v>287</v>
      </c>
      <c r="B288" s="1">
        <v>179</v>
      </c>
      <c r="C288" s="3" t="s">
        <v>49</v>
      </c>
      <c r="D288" s="5" t="s">
        <v>23</v>
      </c>
      <c r="E288" s="10">
        <v>1.1299999999999999</v>
      </c>
      <c r="F288" s="10">
        <v>8.4700000000000006</v>
      </c>
      <c r="G288" s="10">
        <v>4.78</v>
      </c>
      <c r="H288" s="10">
        <v>1.71</v>
      </c>
      <c r="I288" s="8">
        <f t="shared" si="16"/>
        <v>2.2965881399999999</v>
      </c>
      <c r="K288" s="8">
        <f t="shared" si="15"/>
        <v>7.0934957075126288</v>
      </c>
      <c r="L288" s="8">
        <f t="shared" si="17"/>
        <v>3.5467478537563144</v>
      </c>
    </row>
    <row r="289" spans="1:12" x14ac:dyDescent="0.25">
      <c r="A289" s="1">
        <v>288</v>
      </c>
      <c r="B289" s="1">
        <v>180</v>
      </c>
      <c r="C289" s="3" t="s">
        <v>49</v>
      </c>
      <c r="D289" s="5" t="s">
        <v>23</v>
      </c>
      <c r="E289" s="10">
        <v>2.2999999999999998</v>
      </c>
      <c r="F289" s="10">
        <v>9.18</v>
      </c>
      <c r="G289" s="10">
        <f>F289-2</f>
        <v>7.18</v>
      </c>
      <c r="H289" s="10">
        <v>1.79</v>
      </c>
      <c r="I289" s="8">
        <f t="shared" si="16"/>
        <v>2.5165001399999998</v>
      </c>
      <c r="K289" s="8">
        <f t="shared" si="15"/>
        <v>16.42379956532697</v>
      </c>
      <c r="L289" s="8">
        <f t="shared" si="17"/>
        <v>8.211899782663485</v>
      </c>
    </row>
    <row r="290" spans="1:12" x14ac:dyDescent="0.25">
      <c r="A290" s="1">
        <v>289</v>
      </c>
      <c r="B290" s="1">
        <v>181</v>
      </c>
      <c r="C290" s="3" t="s">
        <v>49</v>
      </c>
      <c r="D290" s="5" t="s">
        <v>23</v>
      </c>
      <c r="E290" s="10">
        <v>1.3</v>
      </c>
      <c r="F290" s="10">
        <v>7.34</v>
      </c>
      <c r="G290" s="10">
        <v>3.27</v>
      </c>
      <c r="H290" s="10">
        <v>1.91</v>
      </c>
      <c r="I290" s="8">
        <f t="shared" si="16"/>
        <v>2.8652177399999998</v>
      </c>
      <c r="K290" s="8">
        <f t="shared" si="15"/>
        <v>3.240635111915064</v>
      </c>
      <c r="L290" s="8">
        <f t="shared" si="17"/>
        <v>1.620317555957532</v>
      </c>
    </row>
    <row r="291" spans="1:12" x14ac:dyDescent="0.25">
      <c r="A291" s="1">
        <v>290</v>
      </c>
      <c r="B291" s="1">
        <v>182</v>
      </c>
      <c r="C291" s="3" t="s">
        <v>49</v>
      </c>
      <c r="D291" s="5" t="s">
        <v>23</v>
      </c>
      <c r="E291" s="10">
        <v>1.48</v>
      </c>
      <c r="F291" s="10">
        <v>10.4</v>
      </c>
      <c r="G291" s="10">
        <v>9.31</v>
      </c>
      <c r="H291" s="10">
        <v>2.09</v>
      </c>
      <c r="I291" s="8">
        <f t="shared" si="16"/>
        <v>3.4307057399999992</v>
      </c>
      <c r="K291" s="8">
        <f t="shared" si="15"/>
        <v>28.072979744613061</v>
      </c>
      <c r="L291" s="8">
        <f t="shared" si="17"/>
        <v>14.036489872306531</v>
      </c>
    </row>
    <row r="292" spans="1:12" x14ac:dyDescent="0.25">
      <c r="A292" s="1">
        <v>291</v>
      </c>
      <c r="B292" s="1">
        <v>183</v>
      </c>
      <c r="C292" s="3" t="s">
        <v>49</v>
      </c>
      <c r="D292" s="5" t="s">
        <v>23</v>
      </c>
      <c r="E292" s="10">
        <v>2.31</v>
      </c>
      <c r="F292" s="10">
        <v>5.75</v>
      </c>
      <c r="G292" s="10">
        <f>F292-2</f>
        <v>3.75</v>
      </c>
      <c r="H292" s="10">
        <v>2.06</v>
      </c>
      <c r="I292" s="8">
        <f t="shared" si="16"/>
        <v>3.3329234399999996</v>
      </c>
      <c r="K292" s="8">
        <f t="shared" si="15"/>
        <v>4.2990685146535457</v>
      </c>
      <c r="L292" s="8">
        <f t="shared" si="17"/>
        <v>2.1495342573267728</v>
      </c>
    </row>
    <row r="293" spans="1:12" x14ac:dyDescent="0.25">
      <c r="A293" s="1">
        <v>292</v>
      </c>
      <c r="B293" s="1">
        <v>184</v>
      </c>
      <c r="C293" s="3" t="s">
        <v>49</v>
      </c>
      <c r="D293" s="5" t="s">
        <v>23</v>
      </c>
      <c r="E293" s="10">
        <v>1.67</v>
      </c>
      <c r="F293" s="10">
        <v>5.53</v>
      </c>
      <c r="G293" s="10">
        <f>F293-2</f>
        <v>3.5300000000000002</v>
      </c>
      <c r="H293" s="10">
        <v>1.69</v>
      </c>
      <c r="I293" s="8">
        <f t="shared" si="16"/>
        <v>2.2431809399999998</v>
      </c>
      <c r="K293" s="8">
        <f t="shared" si="15"/>
        <v>3.7948441986314729</v>
      </c>
      <c r="L293" s="8">
        <f t="shared" si="17"/>
        <v>1.8974220993157365</v>
      </c>
    </row>
    <row r="294" spans="1:12" x14ac:dyDescent="0.25">
      <c r="A294" s="1">
        <v>293</v>
      </c>
      <c r="B294" s="1">
        <v>185</v>
      </c>
      <c r="C294" s="3" t="s">
        <v>49</v>
      </c>
      <c r="D294" s="5" t="s">
        <v>23</v>
      </c>
      <c r="E294" s="10">
        <v>1.26</v>
      </c>
      <c r="F294" s="10">
        <v>10.1</v>
      </c>
      <c r="G294" s="10">
        <v>7.62</v>
      </c>
      <c r="H294" s="10">
        <v>2.06</v>
      </c>
      <c r="I294" s="8">
        <f t="shared" si="16"/>
        <v>3.3329234399999996</v>
      </c>
      <c r="K294" s="8">
        <f t="shared" si="15"/>
        <v>18.568419062786223</v>
      </c>
      <c r="L294" s="8">
        <f t="shared" si="17"/>
        <v>9.2842095313931114</v>
      </c>
    </row>
    <row r="295" spans="1:12" x14ac:dyDescent="0.25">
      <c r="A295" s="1">
        <v>294</v>
      </c>
      <c r="B295" s="1">
        <v>186</v>
      </c>
      <c r="C295" s="3" t="s">
        <v>49</v>
      </c>
      <c r="D295" s="5" t="s">
        <v>23</v>
      </c>
      <c r="E295" s="10">
        <v>1.9</v>
      </c>
      <c r="F295" s="10">
        <v>8.4700000000000006</v>
      </c>
      <c r="G295" s="10">
        <f>F295-2</f>
        <v>6.4700000000000006</v>
      </c>
      <c r="H295" s="10">
        <v>1.91</v>
      </c>
      <c r="I295" s="8">
        <f t="shared" si="16"/>
        <v>2.8652177399999998</v>
      </c>
      <c r="K295" s="8">
        <f t="shared" si="15"/>
        <v>13.248351092597819</v>
      </c>
      <c r="L295" s="8">
        <f t="shared" si="17"/>
        <v>6.6241755462989094</v>
      </c>
    </row>
    <row r="296" spans="1:12" x14ac:dyDescent="0.25">
      <c r="A296" s="1">
        <v>295</v>
      </c>
      <c r="B296" s="1">
        <v>187</v>
      </c>
      <c r="C296" s="3" t="s">
        <v>49</v>
      </c>
      <c r="D296" s="5" t="s">
        <v>23</v>
      </c>
      <c r="E296" s="10">
        <v>1.42</v>
      </c>
      <c r="F296" s="10">
        <v>9.82</v>
      </c>
      <c r="G296" s="10">
        <v>7.46</v>
      </c>
      <c r="H296" s="10">
        <v>1.84</v>
      </c>
      <c r="I296" s="8">
        <f t="shared" si="16"/>
        <v>2.65905024</v>
      </c>
      <c r="K296" s="8">
        <f t="shared" si="15"/>
        <v>17.772863937302585</v>
      </c>
      <c r="L296" s="8">
        <f t="shared" si="17"/>
        <v>8.8864319686512925</v>
      </c>
    </row>
    <row r="297" spans="1:12" x14ac:dyDescent="0.25">
      <c r="A297" s="1">
        <v>296</v>
      </c>
      <c r="B297" s="1">
        <v>188</v>
      </c>
      <c r="C297" s="3" t="s">
        <v>49</v>
      </c>
      <c r="D297" s="5" t="s">
        <v>23</v>
      </c>
      <c r="E297" s="10">
        <v>2.33</v>
      </c>
      <c r="F297" s="10">
        <v>8.0399999999999991</v>
      </c>
      <c r="G297" s="10">
        <v>7.3</v>
      </c>
      <c r="H297" s="10">
        <v>1.86</v>
      </c>
      <c r="I297" s="8">
        <f t="shared" si="16"/>
        <v>2.7171698400000004</v>
      </c>
      <c r="K297" s="8">
        <f t="shared" si="15"/>
        <v>16.995250392557484</v>
      </c>
      <c r="L297" s="8">
        <f t="shared" si="17"/>
        <v>8.4976251962787419</v>
      </c>
    </row>
    <row r="298" spans="1:12" x14ac:dyDescent="0.25">
      <c r="A298" s="1">
        <v>297</v>
      </c>
      <c r="B298" s="1">
        <v>189</v>
      </c>
      <c r="C298" s="3" t="s">
        <v>49</v>
      </c>
      <c r="D298" s="5" t="s">
        <v>23</v>
      </c>
      <c r="E298" s="10">
        <v>2.4</v>
      </c>
      <c r="F298" s="10">
        <v>6.72</v>
      </c>
      <c r="G298" s="10">
        <v>3.47</v>
      </c>
      <c r="H298" s="10">
        <v>1.92</v>
      </c>
      <c r="I298" s="8">
        <f t="shared" si="16"/>
        <v>2.8952985600000001</v>
      </c>
      <c r="K298" s="8">
        <f t="shared" si="15"/>
        <v>3.6629476918821671</v>
      </c>
      <c r="L298" s="8">
        <f t="shared" si="17"/>
        <v>1.8314738459410835</v>
      </c>
    </row>
    <row r="299" spans="1:12" x14ac:dyDescent="0.25">
      <c r="A299" s="1">
        <v>298</v>
      </c>
      <c r="B299" s="1">
        <v>190</v>
      </c>
      <c r="C299" s="3" t="s">
        <v>49</v>
      </c>
      <c r="D299" s="5" t="s">
        <v>23</v>
      </c>
      <c r="E299" s="10">
        <v>1.54</v>
      </c>
      <c r="F299" s="10">
        <v>10.73</v>
      </c>
      <c r="G299" s="10">
        <v>6.63</v>
      </c>
      <c r="H299" s="10">
        <v>1.75</v>
      </c>
      <c r="I299" s="8">
        <f t="shared" si="16"/>
        <v>2.4052875</v>
      </c>
      <c r="K299" s="8">
        <f t="shared" si="15"/>
        <v>13.933300750687327</v>
      </c>
      <c r="L299" s="8">
        <f t="shared" si="17"/>
        <v>6.9666503753436633</v>
      </c>
    </row>
    <row r="300" spans="1:12" x14ac:dyDescent="0.25">
      <c r="A300" s="1">
        <v>299</v>
      </c>
      <c r="B300" s="1">
        <v>191</v>
      </c>
      <c r="C300" s="3" t="s">
        <v>49</v>
      </c>
      <c r="D300" s="5" t="s">
        <v>23</v>
      </c>
      <c r="E300" s="10">
        <v>1.36</v>
      </c>
      <c r="F300" s="10">
        <v>10.6</v>
      </c>
      <c r="G300" s="10">
        <v>4.05</v>
      </c>
      <c r="H300" s="10">
        <v>1.97</v>
      </c>
      <c r="I300" s="8">
        <f t="shared" si="16"/>
        <v>3.0480588599999998</v>
      </c>
      <c r="K300" s="8">
        <f t="shared" si="15"/>
        <v>5.0389991606024687</v>
      </c>
      <c r="L300" s="8">
        <f t="shared" si="17"/>
        <v>2.5194995803012343</v>
      </c>
    </row>
    <row r="301" spans="1:12" x14ac:dyDescent="0.25">
      <c r="A301" s="1">
        <v>300</v>
      </c>
      <c r="B301" s="1">
        <v>192</v>
      </c>
      <c r="C301" s="3" t="s">
        <v>49</v>
      </c>
      <c r="D301" s="5" t="s">
        <v>23</v>
      </c>
      <c r="E301" s="10">
        <v>1.33</v>
      </c>
      <c r="F301" s="10">
        <v>9.86</v>
      </c>
      <c r="G301" s="10">
        <v>8.16</v>
      </c>
      <c r="H301" s="10">
        <v>1.72</v>
      </c>
      <c r="I301" s="8">
        <f t="shared" si="16"/>
        <v>2.3235273599999999</v>
      </c>
      <c r="K301" s="8">
        <f t="shared" si="15"/>
        <v>21.386193314870717</v>
      </c>
      <c r="L301" s="8">
        <f t="shared" si="17"/>
        <v>10.693096657435358</v>
      </c>
    </row>
    <row r="302" spans="1:12" x14ac:dyDescent="0.25">
      <c r="A302" s="1">
        <v>301</v>
      </c>
      <c r="B302" s="1">
        <v>193</v>
      </c>
      <c r="C302" s="3" t="s">
        <v>49</v>
      </c>
      <c r="D302" s="5" t="s">
        <v>23</v>
      </c>
      <c r="E302" s="10">
        <v>1.63</v>
      </c>
      <c r="F302" s="10">
        <v>6.91</v>
      </c>
      <c r="G302" s="10">
        <v>6.59</v>
      </c>
      <c r="H302" s="10">
        <v>2.0699999999999998</v>
      </c>
      <c r="I302" s="8">
        <f t="shared" si="16"/>
        <v>3.3653604599999993</v>
      </c>
      <c r="K302" s="8">
        <f t="shared" si="15"/>
        <v>13.760394932592229</v>
      </c>
      <c r="L302" s="8">
        <f t="shared" si="17"/>
        <v>6.8801974662961145</v>
      </c>
    </row>
    <row r="303" spans="1:12" x14ac:dyDescent="0.25">
      <c r="A303" s="1">
        <v>302</v>
      </c>
      <c r="B303" s="1">
        <v>194</v>
      </c>
      <c r="C303" s="3" t="s">
        <v>49</v>
      </c>
      <c r="D303" s="5" t="s">
        <v>23</v>
      </c>
      <c r="E303" s="10">
        <v>2.02</v>
      </c>
      <c r="F303" s="10">
        <v>9.1300000000000008</v>
      </c>
      <c r="G303" s="10">
        <v>7.76</v>
      </c>
      <c r="H303" s="10">
        <v>1.86</v>
      </c>
      <c r="I303" s="8">
        <f t="shared" si="16"/>
        <v>2.7171698400000004</v>
      </c>
      <c r="K303" s="8">
        <f t="shared" ref="K303:K366" si="18">0.2811*G303^2.0635</f>
        <v>19.279266532564954</v>
      </c>
      <c r="L303" s="8">
        <f t="shared" si="17"/>
        <v>9.6396332662824769</v>
      </c>
    </row>
    <row r="304" spans="1:12" x14ac:dyDescent="0.25">
      <c r="A304" s="1">
        <v>303</v>
      </c>
      <c r="B304" s="1">
        <v>195</v>
      </c>
      <c r="C304" s="3" t="s">
        <v>49</v>
      </c>
      <c r="D304" s="5" t="s">
        <v>23</v>
      </c>
      <c r="E304" s="10">
        <v>1.72</v>
      </c>
      <c r="F304" s="10">
        <v>7.53</v>
      </c>
      <c r="G304" s="10">
        <v>3.29</v>
      </c>
      <c r="H304" s="10">
        <v>2.0299999999999998</v>
      </c>
      <c r="I304" s="8">
        <f t="shared" si="16"/>
        <v>3.2365548599999991</v>
      </c>
      <c r="K304" s="8">
        <f t="shared" si="18"/>
        <v>3.281667537704104</v>
      </c>
      <c r="L304" s="8">
        <f t="shared" si="17"/>
        <v>1.640833768852052</v>
      </c>
    </row>
    <row r="305" spans="1:12" x14ac:dyDescent="0.25">
      <c r="A305" s="1">
        <v>304</v>
      </c>
      <c r="B305" s="1">
        <v>196</v>
      </c>
      <c r="C305" s="3" t="s">
        <v>49</v>
      </c>
      <c r="D305" s="5" t="s">
        <v>23</v>
      </c>
      <c r="E305" s="10">
        <v>2.12</v>
      </c>
      <c r="F305" s="10">
        <v>5.64</v>
      </c>
      <c r="G305" s="10">
        <v>3.59</v>
      </c>
      <c r="H305" s="10">
        <v>1.82</v>
      </c>
      <c r="I305" s="8">
        <f t="shared" si="16"/>
        <v>2.6015589600000002</v>
      </c>
      <c r="K305" s="8">
        <f t="shared" si="18"/>
        <v>3.9291466652868774</v>
      </c>
      <c r="L305" s="8">
        <f t="shared" si="17"/>
        <v>1.9645733326434387</v>
      </c>
    </row>
    <row r="306" spans="1:12" x14ac:dyDescent="0.25">
      <c r="A306" s="1">
        <v>305</v>
      </c>
      <c r="B306" s="1">
        <v>197</v>
      </c>
      <c r="C306" s="3" t="s">
        <v>49</v>
      </c>
      <c r="D306" s="5" t="s">
        <v>23</v>
      </c>
      <c r="E306" s="10">
        <v>1.34</v>
      </c>
      <c r="F306" s="10">
        <v>11.42</v>
      </c>
      <c r="G306" s="10">
        <v>8.01</v>
      </c>
      <c r="H306" s="10">
        <v>2</v>
      </c>
      <c r="I306" s="8">
        <f t="shared" si="16"/>
        <v>3.1415999999999999</v>
      </c>
      <c r="K306" s="8">
        <f t="shared" si="18"/>
        <v>20.582898979761119</v>
      </c>
      <c r="L306" s="8">
        <f t="shared" si="17"/>
        <v>10.291449489880559</v>
      </c>
    </row>
    <row r="307" spans="1:12" x14ac:dyDescent="0.25">
      <c r="A307" s="1">
        <v>306</v>
      </c>
      <c r="B307" s="1">
        <v>198</v>
      </c>
      <c r="C307" s="3" t="s">
        <v>49</v>
      </c>
      <c r="D307" s="5" t="s">
        <v>23</v>
      </c>
      <c r="E307" s="10">
        <v>1.8</v>
      </c>
      <c r="F307" s="10">
        <v>5.96</v>
      </c>
      <c r="G307" s="10">
        <v>3.5</v>
      </c>
      <c r="H307" s="10">
        <v>1.79</v>
      </c>
      <c r="I307" s="8">
        <f t="shared" si="16"/>
        <v>2.5165001399999998</v>
      </c>
      <c r="K307" s="8">
        <f t="shared" si="18"/>
        <v>3.7285953628971171</v>
      </c>
      <c r="L307" s="8">
        <f t="shared" si="17"/>
        <v>1.8642976814485586</v>
      </c>
    </row>
    <row r="308" spans="1:12" x14ac:dyDescent="0.25">
      <c r="A308" s="1">
        <v>307</v>
      </c>
      <c r="B308" s="1">
        <v>199</v>
      </c>
      <c r="C308" s="3" t="s">
        <v>49</v>
      </c>
      <c r="D308" s="5" t="s">
        <v>23</v>
      </c>
      <c r="E308" s="10">
        <v>1.58</v>
      </c>
      <c r="F308" s="10">
        <v>11.65</v>
      </c>
      <c r="G308" s="10">
        <v>3.5</v>
      </c>
      <c r="H308" s="10">
        <v>2.0499999999999998</v>
      </c>
      <c r="I308" s="8">
        <f t="shared" si="16"/>
        <v>3.3006434999999996</v>
      </c>
      <c r="K308" s="8">
        <f t="shared" si="18"/>
        <v>3.7285953628971171</v>
      </c>
      <c r="L308" s="8">
        <f t="shared" si="17"/>
        <v>1.8642976814485586</v>
      </c>
    </row>
    <row r="309" spans="1:12" x14ac:dyDescent="0.25">
      <c r="A309" s="1">
        <v>308</v>
      </c>
      <c r="B309" s="1">
        <v>200</v>
      </c>
      <c r="C309" s="3" t="s">
        <v>49</v>
      </c>
      <c r="D309" s="5" t="s">
        <v>23</v>
      </c>
      <c r="E309" s="10">
        <v>1.48</v>
      </c>
      <c r="F309" s="10">
        <v>8.1199999999999992</v>
      </c>
      <c r="G309" s="10">
        <v>3.08</v>
      </c>
      <c r="H309" s="10">
        <v>1.7</v>
      </c>
      <c r="I309" s="8">
        <f t="shared" si="16"/>
        <v>2.2698059999999995</v>
      </c>
      <c r="K309" s="8">
        <f t="shared" si="18"/>
        <v>2.8640806892143513</v>
      </c>
      <c r="L309" s="8">
        <f t="shared" si="17"/>
        <v>1.4320403446071757</v>
      </c>
    </row>
    <row r="310" spans="1:12" x14ac:dyDescent="0.25">
      <c r="A310" s="1">
        <v>309</v>
      </c>
      <c r="B310" s="1">
        <v>201</v>
      </c>
      <c r="C310" s="3" t="s">
        <v>49</v>
      </c>
      <c r="D310" s="5" t="s">
        <v>23</v>
      </c>
      <c r="E310" s="10">
        <v>1.1200000000000001</v>
      </c>
      <c r="F310" s="10">
        <v>6.3</v>
      </c>
      <c r="G310" s="10">
        <f>F310-2</f>
        <v>4.3</v>
      </c>
      <c r="H310" s="10">
        <v>1.7</v>
      </c>
      <c r="I310" s="8">
        <f t="shared" si="16"/>
        <v>2.2698059999999995</v>
      </c>
      <c r="K310" s="8">
        <f t="shared" si="18"/>
        <v>5.7019447352312129</v>
      </c>
      <c r="L310" s="8">
        <f t="shared" si="17"/>
        <v>2.8509723676156065</v>
      </c>
    </row>
    <row r="311" spans="1:12" x14ac:dyDescent="0.25">
      <c r="A311" s="1">
        <v>310</v>
      </c>
      <c r="B311" s="1">
        <v>202</v>
      </c>
      <c r="C311" s="3" t="s">
        <v>49</v>
      </c>
      <c r="D311" s="5" t="s">
        <v>23</v>
      </c>
      <c r="E311" s="10">
        <v>1.97</v>
      </c>
      <c r="F311" s="10">
        <v>8.7899999999999991</v>
      </c>
      <c r="G311" s="10">
        <v>8.16</v>
      </c>
      <c r="H311" s="10">
        <v>1.7</v>
      </c>
      <c r="I311" s="8">
        <f t="shared" si="16"/>
        <v>2.2698059999999995</v>
      </c>
      <c r="K311" s="8">
        <f t="shared" si="18"/>
        <v>21.386193314870717</v>
      </c>
      <c r="L311" s="8">
        <f t="shared" si="17"/>
        <v>10.693096657435358</v>
      </c>
    </row>
    <row r="312" spans="1:12" x14ac:dyDescent="0.25">
      <c r="A312" s="1">
        <v>311</v>
      </c>
      <c r="B312" s="1">
        <v>203</v>
      </c>
      <c r="C312" s="3" t="s">
        <v>49</v>
      </c>
      <c r="D312" s="5" t="s">
        <v>23</v>
      </c>
      <c r="E312" s="10">
        <v>1.55</v>
      </c>
      <c r="F312" s="10">
        <v>11.11</v>
      </c>
      <c r="G312" s="10">
        <v>5.47</v>
      </c>
      <c r="H312" s="10">
        <v>1.71</v>
      </c>
      <c r="I312" s="8">
        <f t="shared" si="16"/>
        <v>2.2965881399999999</v>
      </c>
      <c r="K312" s="8">
        <f t="shared" si="18"/>
        <v>9.3690960980694005</v>
      </c>
      <c r="L312" s="8">
        <f t="shared" si="17"/>
        <v>4.6845480490347002</v>
      </c>
    </row>
    <row r="313" spans="1:12" x14ac:dyDescent="0.25">
      <c r="A313" s="1">
        <v>312</v>
      </c>
      <c r="B313" s="1">
        <v>204</v>
      </c>
      <c r="C313" s="3" t="s">
        <v>49</v>
      </c>
      <c r="D313" s="5" t="s">
        <v>23</v>
      </c>
      <c r="E313" s="10">
        <v>2.0099999999999998</v>
      </c>
      <c r="F313" s="10">
        <v>10.130000000000001</v>
      </c>
      <c r="G313" s="10">
        <v>5.08</v>
      </c>
      <c r="H313" s="10">
        <v>1.92</v>
      </c>
      <c r="I313" s="8">
        <f t="shared" si="16"/>
        <v>2.8952985600000001</v>
      </c>
      <c r="K313" s="8">
        <f t="shared" si="18"/>
        <v>8.0428619776756953</v>
      </c>
      <c r="L313" s="8">
        <f t="shared" si="17"/>
        <v>4.0214309888378477</v>
      </c>
    </row>
    <row r="314" spans="1:12" x14ac:dyDescent="0.25">
      <c r="A314" s="1">
        <v>313</v>
      </c>
      <c r="B314" s="1">
        <v>205</v>
      </c>
      <c r="C314" s="3" t="s">
        <v>49</v>
      </c>
      <c r="D314" s="5" t="s">
        <v>23</v>
      </c>
      <c r="E314" s="10">
        <v>2.04</v>
      </c>
      <c r="F314" s="10">
        <v>10.65</v>
      </c>
      <c r="G314" s="10">
        <v>5.45</v>
      </c>
      <c r="H314" s="10">
        <v>2</v>
      </c>
      <c r="I314" s="8">
        <f t="shared" si="16"/>
        <v>3.1415999999999999</v>
      </c>
      <c r="K314" s="8">
        <f t="shared" si="18"/>
        <v>9.298545661359503</v>
      </c>
      <c r="L314" s="8">
        <f t="shared" si="17"/>
        <v>4.6492728306797515</v>
      </c>
    </row>
    <row r="315" spans="1:12" x14ac:dyDescent="0.25">
      <c r="A315" s="1">
        <v>314</v>
      </c>
      <c r="B315" s="1">
        <v>206</v>
      </c>
      <c r="C315" s="3" t="s">
        <v>49</v>
      </c>
      <c r="D315" s="5" t="s">
        <v>23</v>
      </c>
      <c r="E315" s="10">
        <v>2.2200000000000002</v>
      </c>
      <c r="F315" s="10">
        <v>9.61</v>
      </c>
      <c r="G315" s="10">
        <v>8.42</v>
      </c>
      <c r="H315" s="10">
        <v>1.68</v>
      </c>
      <c r="I315" s="8">
        <f t="shared" si="16"/>
        <v>2.2167129599999997</v>
      </c>
      <c r="K315" s="8">
        <f t="shared" si="18"/>
        <v>22.81614910991663</v>
      </c>
      <c r="L315" s="8">
        <f t="shared" si="17"/>
        <v>11.408074554958315</v>
      </c>
    </row>
    <row r="316" spans="1:12" x14ac:dyDescent="0.25">
      <c r="A316" s="1">
        <v>315</v>
      </c>
      <c r="B316" s="1">
        <v>207</v>
      </c>
      <c r="C316" s="3" t="s">
        <v>49</v>
      </c>
      <c r="D316" s="5" t="s">
        <v>23</v>
      </c>
      <c r="E316" s="10">
        <v>2.0499999999999998</v>
      </c>
      <c r="F316" s="10">
        <v>9.85</v>
      </c>
      <c r="G316" s="10">
        <v>7.63</v>
      </c>
      <c r="H316" s="10">
        <v>1.9</v>
      </c>
      <c r="I316" s="8">
        <f t="shared" si="16"/>
        <v>2.8352939999999998</v>
      </c>
      <c r="K316" s="8">
        <f t="shared" si="18"/>
        <v>18.618737529536752</v>
      </c>
      <c r="L316" s="8">
        <f t="shared" si="17"/>
        <v>9.3093687647683758</v>
      </c>
    </row>
    <row r="317" spans="1:12" x14ac:dyDescent="0.25">
      <c r="A317" s="1">
        <v>316</v>
      </c>
      <c r="B317" s="1">
        <v>208</v>
      </c>
      <c r="C317" s="3" t="s">
        <v>49</v>
      </c>
      <c r="D317" s="5" t="s">
        <v>23</v>
      </c>
      <c r="E317" s="10">
        <v>1.67</v>
      </c>
      <c r="F317" s="10">
        <v>10.94</v>
      </c>
      <c r="G317" s="10">
        <v>4.3</v>
      </c>
      <c r="H317" s="10">
        <v>1.91</v>
      </c>
      <c r="I317" s="8">
        <f t="shared" si="16"/>
        <v>2.8652177399999998</v>
      </c>
      <c r="K317" s="8">
        <f t="shared" si="18"/>
        <v>5.7019447352312129</v>
      </c>
      <c r="L317" s="8">
        <f t="shared" si="17"/>
        <v>2.8509723676156065</v>
      </c>
    </row>
    <row r="318" spans="1:12" x14ac:dyDescent="0.25">
      <c r="A318" s="1">
        <v>317</v>
      </c>
      <c r="B318" s="1">
        <v>209</v>
      </c>
      <c r="C318" s="3" t="s">
        <v>49</v>
      </c>
      <c r="D318" s="5" t="s">
        <v>23</v>
      </c>
      <c r="E318" s="10">
        <v>1.39</v>
      </c>
      <c r="F318" s="10">
        <v>6.75</v>
      </c>
      <c r="G318" s="10">
        <v>4.22</v>
      </c>
      <c r="H318" s="10">
        <v>2.02</v>
      </c>
      <c r="I318" s="8">
        <f t="shared" si="16"/>
        <v>3.20474616</v>
      </c>
      <c r="K318" s="8">
        <f t="shared" si="18"/>
        <v>5.4852078411739926</v>
      </c>
      <c r="L318" s="8">
        <f t="shared" si="17"/>
        <v>2.7426039205869963</v>
      </c>
    </row>
    <row r="319" spans="1:12" x14ac:dyDescent="0.25">
      <c r="A319" s="1">
        <v>318</v>
      </c>
      <c r="B319" s="1">
        <v>210</v>
      </c>
      <c r="C319" s="3" t="s">
        <v>49</v>
      </c>
      <c r="D319" s="5" t="s">
        <v>23</v>
      </c>
      <c r="E319" s="10">
        <v>2.04</v>
      </c>
      <c r="F319" s="10">
        <v>8.43</v>
      </c>
      <c r="G319" s="10">
        <v>3.69</v>
      </c>
      <c r="H319" s="10">
        <v>1.9</v>
      </c>
      <c r="I319" s="8">
        <f t="shared" si="16"/>
        <v>2.8352939999999998</v>
      </c>
      <c r="K319" s="8">
        <f t="shared" si="18"/>
        <v>4.1583376669513124</v>
      </c>
      <c r="L319" s="8">
        <f t="shared" si="17"/>
        <v>2.0791688334756562</v>
      </c>
    </row>
    <row r="320" spans="1:12" x14ac:dyDescent="0.25">
      <c r="A320" s="1">
        <v>319</v>
      </c>
      <c r="B320" s="1">
        <v>211</v>
      </c>
      <c r="C320" s="3" t="s">
        <v>49</v>
      </c>
      <c r="D320" s="5" t="s">
        <v>23</v>
      </c>
      <c r="E320" s="10">
        <v>1.77</v>
      </c>
      <c r="F320" s="10">
        <v>6.55</v>
      </c>
      <c r="G320" s="10">
        <f>F320-2</f>
        <v>4.55</v>
      </c>
      <c r="H320" s="10">
        <v>1.69</v>
      </c>
      <c r="I320" s="8">
        <f t="shared" si="16"/>
        <v>2.2431809399999998</v>
      </c>
      <c r="K320" s="8">
        <f t="shared" si="18"/>
        <v>6.407186455974383</v>
      </c>
      <c r="L320" s="8">
        <f t="shared" si="17"/>
        <v>3.2035932279871915</v>
      </c>
    </row>
    <row r="321" spans="1:12" x14ac:dyDescent="0.25">
      <c r="A321" s="1">
        <v>320</v>
      </c>
      <c r="B321" s="1">
        <v>212</v>
      </c>
      <c r="C321" s="3" t="s">
        <v>49</v>
      </c>
      <c r="D321" s="5" t="s">
        <v>23</v>
      </c>
      <c r="E321" s="10">
        <v>2.16</v>
      </c>
      <c r="F321" s="10">
        <v>11.91</v>
      </c>
      <c r="G321" s="10">
        <v>8.35</v>
      </c>
      <c r="H321" s="10">
        <v>1.9</v>
      </c>
      <c r="I321" s="8">
        <f t="shared" si="16"/>
        <v>2.8352939999999998</v>
      </c>
      <c r="K321" s="8">
        <f t="shared" si="18"/>
        <v>22.42646835698676</v>
      </c>
      <c r="L321" s="8">
        <f t="shared" si="17"/>
        <v>11.21323417849338</v>
      </c>
    </row>
    <row r="322" spans="1:12" x14ac:dyDescent="0.25">
      <c r="A322" s="1">
        <v>321</v>
      </c>
      <c r="B322" s="1">
        <v>213</v>
      </c>
      <c r="C322" s="3" t="s">
        <v>49</v>
      </c>
      <c r="D322" s="5" t="s">
        <v>23</v>
      </c>
      <c r="E322" s="10">
        <v>2.12</v>
      </c>
      <c r="F322" s="10">
        <v>11.61</v>
      </c>
      <c r="G322" s="10">
        <v>4.8600000000000003</v>
      </c>
      <c r="H322" s="10">
        <v>1.92</v>
      </c>
      <c r="I322" s="8">
        <f t="shared" si="16"/>
        <v>2.8952985600000001</v>
      </c>
      <c r="K322" s="8">
        <f t="shared" si="18"/>
        <v>7.3406545585354896</v>
      </c>
      <c r="L322" s="8">
        <f t="shared" si="17"/>
        <v>3.6703272792677448</v>
      </c>
    </row>
    <row r="323" spans="1:12" x14ac:dyDescent="0.25">
      <c r="A323" s="1">
        <v>322</v>
      </c>
      <c r="B323" s="1">
        <v>214</v>
      </c>
      <c r="C323" s="3" t="s">
        <v>49</v>
      </c>
      <c r="D323" s="5" t="s">
        <v>23</v>
      </c>
      <c r="E323" s="10">
        <v>1.48</v>
      </c>
      <c r="F323" s="10">
        <v>5.28</v>
      </c>
      <c r="G323" s="10">
        <v>3.15</v>
      </c>
      <c r="H323" s="10">
        <v>1.78</v>
      </c>
      <c r="I323" s="8">
        <f t="shared" ref="I323:I386" si="19">0.7854*H323^2</f>
        <v>2.4884613600000001</v>
      </c>
      <c r="K323" s="8">
        <f t="shared" si="18"/>
        <v>3.0000236151704662</v>
      </c>
      <c r="L323" s="8">
        <f t="shared" ref="L323:L386" si="20">K323*0.5</f>
        <v>1.5000118075852331</v>
      </c>
    </row>
    <row r="324" spans="1:12" x14ac:dyDescent="0.25">
      <c r="A324" s="1">
        <v>323</v>
      </c>
      <c r="B324" s="1">
        <v>215</v>
      </c>
      <c r="C324" s="3" t="s">
        <v>49</v>
      </c>
      <c r="D324" s="5" t="s">
        <v>23</v>
      </c>
      <c r="E324" s="10">
        <v>1.59</v>
      </c>
      <c r="F324" s="10">
        <v>9.94</v>
      </c>
      <c r="G324" s="10">
        <v>3.58</v>
      </c>
      <c r="H324" s="10">
        <v>1.76</v>
      </c>
      <c r="I324" s="8">
        <f t="shared" si="19"/>
        <v>2.4328550399999997</v>
      </c>
      <c r="K324" s="8">
        <f t="shared" si="18"/>
        <v>3.9065957304519769</v>
      </c>
      <c r="L324" s="8">
        <f t="shared" si="20"/>
        <v>1.9532978652259885</v>
      </c>
    </row>
    <row r="325" spans="1:12" x14ac:dyDescent="0.25">
      <c r="A325" s="1">
        <v>324</v>
      </c>
      <c r="B325" s="1">
        <v>216</v>
      </c>
      <c r="C325" s="3" t="s">
        <v>49</v>
      </c>
      <c r="D325" s="5" t="s">
        <v>23</v>
      </c>
      <c r="E325" s="10">
        <v>2.4</v>
      </c>
      <c r="F325" s="10">
        <v>11.48</v>
      </c>
      <c r="G325" s="10">
        <v>9.7799999999999994</v>
      </c>
      <c r="H325" s="10">
        <v>2.06</v>
      </c>
      <c r="I325" s="8">
        <f t="shared" si="19"/>
        <v>3.3329234399999996</v>
      </c>
      <c r="K325" s="8">
        <f t="shared" si="18"/>
        <v>31.075997115295657</v>
      </c>
      <c r="L325" s="8">
        <f t="shared" si="20"/>
        <v>15.537998557647828</v>
      </c>
    </row>
    <row r="326" spans="1:12" x14ac:dyDescent="0.25">
      <c r="A326" s="1">
        <v>325</v>
      </c>
      <c r="B326" s="1">
        <v>217</v>
      </c>
      <c r="C326" s="3" t="s">
        <v>49</v>
      </c>
      <c r="D326" s="5" t="s">
        <v>23</v>
      </c>
      <c r="E326" s="10">
        <v>2.27</v>
      </c>
      <c r="F326" s="10">
        <v>6.26</v>
      </c>
      <c r="G326" s="10">
        <v>5.07</v>
      </c>
      <c r="H326" s="10">
        <v>1.73</v>
      </c>
      <c r="I326" s="8">
        <f t="shared" si="19"/>
        <v>2.3506236600000001</v>
      </c>
      <c r="K326" s="8">
        <f t="shared" si="18"/>
        <v>8.0102260051305816</v>
      </c>
      <c r="L326" s="8">
        <f t="shared" si="20"/>
        <v>4.0051130025652908</v>
      </c>
    </row>
    <row r="327" spans="1:12" x14ac:dyDescent="0.25">
      <c r="A327" s="1">
        <v>326</v>
      </c>
      <c r="B327" s="1">
        <v>218</v>
      </c>
      <c r="C327" s="3" t="s">
        <v>49</v>
      </c>
      <c r="D327" s="5" t="s">
        <v>23</v>
      </c>
      <c r="E327" s="10">
        <v>2.2000000000000002</v>
      </c>
      <c r="F327" s="10">
        <v>8.98</v>
      </c>
      <c r="G327" s="10">
        <v>8.3800000000000008</v>
      </c>
      <c r="H327" s="10">
        <v>1.74</v>
      </c>
      <c r="I327" s="8">
        <f t="shared" si="19"/>
        <v>2.37787704</v>
      </c>
      <c r="K327" s="8">
        <f t="shared" si="18"/>
        <v>22.593050759781221</v>
      </c>
      <c r="L327" s="8">
        <f t="shared" si="20"/>
        <v>11.29652537989061</v>
      </c>
    </row>
    <row r="328" spans="1:12" x14ac:dyDescent="0.25">
      <c r="A328" s="1">
        <v>327</v>
      </c>
      <c r="B328" s="1">
        <v>219</v>
      </c>
      <c r="C328" s="3" t="s">
        <v>49</v>
      </c>
      <c r="D328" s="5" t="s">
        <v>23</v>
      </c>
      <c r="E328" s="10">
        <v>1.75</v>
      </c>
      <c r="F328" s="10">
        <v>11.41</v>
      </c>
      <c r="G328" s="10">
        <v>7.37</v>
      </c>
      <c r="H328" s="10">
        <v>1.84</v>
      </c>
      <c r="I328" s="8">
        <f t="shared" si="19"/>
        <v>2.65905024</v>
      </c>
      <c r="K328" s="8">
        <f t="shared" si="18"/>
        <v>17.333250233429752</v>
      </c>
      <c r="L328" s="8">
        <f t="shared" si="20"/>
        <v>8.6666251167148758</v>
      </c>
    </row>
    <row r="329" spans="1:12" x14ac:dyDescent="0.25">
      <c r="A329" s="1">
        <v>328</v>
      </c>
      <c r="B329" s="1">
        <v>220</v>
      </c>
      <c r="C329" s="3" t="s">
        <v>49</v>
      </c>
      <c r="D329" s="5" t="s">
        <v>23</v>
      </c>
      <c r="E329" s="10">
        <v>1.74</v>
      </c>
      <c r="F329" s="10">
        <v>5.24</v>
      </c>
      <c r="G329" s="10">
        <f>F329-2</f>
        <v>3.24</v>
      </c>
      <c r="H329" s="10">
        <v>1.97</v>
      </c>
      <c r="I329" s="8">
        <f t="shared" si="19"/>
        <v>3.0480588599999998</v>
      </c>
      <c r="K329" s="8">
        <f t="shared" si="18"/>
        <v>3.1795852538906333</v>
      </c>
      <c r="L329" s="8">
        <f t="shared" si="20"/>
        <v>1.5897926269453166</v>
      </c>
    </row>
    <row r="330" spans="1:12" x14ac:dyDescent="0.25">
      <c r="A330" s="1">
        <v>329</v>
      </c>
      <c r="B330" s="1">
        <v>221</v>
      </c>
      <c r="C330" s="3" t="s">
        <v>49</v>
      </c>
      <c r="D330" s="5" t="s">
        <v>23</v>
      </c>
      <c r="E330" s="10">
        <v>2.02</v>
      </c>
      <c r="F330" s="10">
        <v>9.8800000000000008</v>
      </c>
      <c r="G330" s="10">
        <v>4.4400000000000004</v>
      </c>
      <c r="H330" s="10">
        <v>2.06</v>
      </c>
      <c r="I330" s="8">
        <f t="shared" si="19"/>
        <v>3.3329234399999996</v>
      </c>
      <c r="K330" s="8">
        <f t="shared" si="18"/>
        <v>6.0916592820792097</v>
      </c>
      <c r="L330" s="8">
        <f t="shared" si="20"/>
        <v>3.0458296410396049</v>
      </c>
    </row>
    <row r="331" spans="1:12" x14ac:dyDescent="0.25">
      <c r="A331" s="1">
        <v>330</v>
      </c>
      <c r="B331" s="1">
        <v>222</v>
      </c>
      <c r="C331" s="3" t="s">
        <v>49</v>
      </c>
      <c r="D331" s="5" t="s">
        <v>23</v>
      </c>
      <c r="E331" s="10">
        <v>1.97</v>
      </c>
      <c r="F331" s="10">
        <v>7.08</v>
      </c>
      <c r="G331" s="10">
        <v>3.85</v>
      </c>
      <c r="H331" s="10">
        <v>2.0499999999999998</v>
      </c>
      <c r="I331" s="8">
        <f t="shared" si="19"/>
        <v>3.3006434999999996</v>
      </c>
      <c r="K331" s="8">
        <f t="shared" si="18"/>
        <v>4.5389882756530318</v>
      </c>
      <c r="L331" s="8">
        <f t="shared" si="20"/>
        <v>2.2694941378265159</v>
      </c>
    </row>
    <row r="332" spans="1:12" x14ac:dyDescent="0.25">
      <c r="A332" s="1">
        <v>331</v>
      </c>
      <c r="B332" s="1">
        <v>223</v>
      </c>
      <c r="C332" s="3" t="s">
        <v>49</v>
      </c>
      <c r="D332" s="5" t="s">
        <v>23</v>
      </c>
      <c r="E332" s="10">
        <v>1.32</v>
      </c>
      <c r="F332" s="10">
        <v>11.47</v>
      </c>
      <c r="G332" s="10">
        <v>7.31</v>
      </c>
      <c r="H332" s="10">
        <v>1.86</v>
      </c>
      <c r="I332" s="8">
        <f t="shared" si="19"/>
        <v>2.7171698400000004</v>
      </c>
      <c r="K332" s="8">
        <f t="shared" si="18"/>
        <v>17.043326071405609</v>
      </c>
      <c r="L332" s="8">
        <f t="shared" si="20"/>
        <v>8.5216630357028045</v>
      </c>
    </row>
    <row r="333" spans="1:12" x14ac:dyDescent="0.25">
      <c r="A333" s="1">
        <v>332</v>
      </c>
      <c r="B333" s="1">
        <v>224</v>
      </c>
      <c r="C333" s="3" t="s">
        <v>49</v>
      </c>
      <c r="D333" s="5" t="s">
        <v>23</v>
      </c>
      <c r="E333" s="10">
        <v>1.56</v>
      </c>
      <c r="F333" s="10">
        <v>11.8</v>
      </c>
      <c r="G333" s="10">
        <v>8.42</v>
      </c>
      <c r="H333" s="10">
        <v>2.04</v>
      </c>
      <c r="I333" s="8">
        <f t="shared" si="19"/>
        <v>3.2685206399999998</v>
      </c>
      <c r="K333" s="8">
        <f t="shared" si="18"/>
        <v>22.81614910991663</v>
      </c>
      <c r="L333" s="8">
        <f t="shared" si="20"/>
        <v>11.408074554958315</v>
      </c>
    </row>
    <row r="334" spans="1:12" x14ac:dyDescent="0.25">
      <c r="A334" s="1">
        <v>333</v>
      </c>
      <c r="B334" s="1">
        <v>225</v>
      </c>
      <c r="C334" s="3" t="s">
        <v>49</v>
      </c>
      <c r="D334" s="5" t="s">
        <v>23</v>
      </c>
      <c r="E334" s="10">
        <v>1.75</v>
      </c>
      <c r="F334" s="10">
        <v>11.61</v>
      </c>
      <c r="G334" s="10">
        <v>7.51</v>
      </c>
      <c r="H334" s="10">
        <v>2.08</v>
      </c>
      <c r="I334" s="8">
        <f t="shared" si="19"/>
        <v>3.3979545600000005</v>
      </c>
      <c r="K334" s="8">
        <f t="shared" si="18"/>
        <v>18.019546449137863</v>
      </c>
      <c r="L334" s="8">
        <f t="shared" si="20"/>
        <v>9.0097732245689315</v>
      </c>
    </row>
    <row r="335" spans="1:12" x14ac:dyDescent="0.25">
      <c r="A335" s="1">
        <v>334</v>
      </c>
      <c r="B335" s="1">
        <v>226</v>
      </c>
      <c r="C335" s="3" t="s">
        <v>49</v>
      </c>
      <c r="D335" s="5" t="s">
        <v>23</v>
      </c>
      <c r="E335" s="10">
        <v>1.49</v>
      </c>
      <c r="F335" s="10">
        <v>8.32</v>
      </c>
      <c r="G335" s="10">
        <v>6.71</v>
      </c>
      <c r="H335" s="10">
        <v>1.81</v>
      </c>
      <c r="I335" s="8">
        <f t="shared" si="19"/>
        <v>2.5730489400000001</v>
      </c>
      <c r="K335" s="8">
        <f t="shared" si="18"/>
        <v>14.282451763344408</v>
      </c>
      <c r="L335" s="8">
        <f t="shared" si="20"/>
        <v>7.1412258816722041</v>
      </c>
    </row>
    <row r="336" spans="1:12" x14ac:dyDescent="0.25">
      <c r="A336" s="1">
        <v>335</v>
      </c>
      <c r="B336" s="1">
        <v>227</v>
      </c>
      <c r="C336" s="3" t="s">
        <v>49</v>
      </c>
      <c r="D336" s="5" t="s">
        <v>23</v>
      </c>
      <c r="E336" s="10">
        <v>1.31</v>
      </c>
      <c r="F336" s="10">
        <v>11.03</v>
      </c>
      <c r="G336" s="10">
        <v>3.29</v>
      </c>
      <c r="H336" s="10">
        <v>1.84</v>
      </c>
      <c r="I336" s="8">
        <f t="shared" si="19"/>
        <v>2.65905024</v>
      </c>
      <c r="K336" s="8">
        <f t="shared" si="18"/>
        <v>3.281667537704104</v>
      </c>
      <c r="L336" s="8">
        <f t="shared" si="20"/>
        <v>1.640833768852052</v>
      </c>
    </row>
    <row r="337" spans="1:12" x14ac:dyDescent="0.25">
      <c r="A337" s="1">
        <v>336</v>
      </c>
      <c r="B337" s="1">
        <v>228</v>
      </c>
      <c r="C337" s="3" t="s">
        <v>49</v>
      </c>
      <c r="D337" s="5" t="s">
        <v>23</v>
      </c>
      <c r="E337" s="10">
        <v>2.2799999999999998</v>
      </c>
      <c r="F337" s="10">
        <v>10.91</v>
      </c>
      <c r="G337" s="10">
        <v>9.7799999999999994</v>
      </c>
      <c r="H337" s="10">
        <v>1.96</v>
      </c>
      <c r="I337" s="8">
        <f t="shared" si="19"/>
        <v>3.0171926399999998</v>
      </c>
      <c r="K337" s="8">
        <f t="shared" si="18"/>
        <v>31.075997115295657</v>
      </c>
      <c r="L337" s="8">
        <f t="shared" si="20"/>
        <v>15.537998557647828</v>
      </c>
    </row>
    <row r="338" spans="1:12" x14ac:dyDescent="0.25">
      <c r="A338" s="1">
        <v>337</v>
      </c>
      <c r="B338" s="1">
        <v>229</v>
      </c>
      <c r="C338" s="3" t="s">
        <v>49</v>
      </c>
      <c r="D338" s="5" t="s">
        <v>23</v>
      </c>
      <c r="E338" s="10">
        <v>1.37</v>
      </c>
      <c r="F338" s="10">
        <v>7.23</v>
      </c>
      <c r="G338" s="10">
        <f>F338-2</f>
        <v>5.23</v>
      </c>
      <c r="H338" s="10">
        <v>1.75</v>
      </c>
      <c r="I338" s="8">
        <f t="shared" si="19"/>
        <v>2.4052875</v>
      </c>
      <c r="K338" s="8">
        <f t="shared" si="18"/>
        <v>8.5406137358419834</v>
      </c>
      <c r="L338" s="8">
        <f t="shared" si="20"/>
        <v>4.2703068679209917</v>
      </c>
    </row>
    <row r="339" spans="1:12" x14ac:dyDescent="0.25">
      <c r="A339" s="1">
        <v>338</v>
      </c>
      <c r="B339" s="1">
        <v>230</v>
      </c>
      <c r="C339" s="3" t="s">
        <v>49</v>
      </c>
      <c r="D339" s="5" t="s">
        <v>23</v>
      </c>
      <c r="E339" s="10">
        <v>2.06</v>
      </c>
      <c r="F339" s="10">
        <v>10.8</v>
      </c>
      <c r="G339" s="10">
        <v>5.05</v>
      </c>
      <c r="H339" s="10">
        <v>1.85</v>
      </c>
      <c r="I339" s="8">
        <f t="shared" si="19"/>
        <v>2.6880315000000001</v>
      </c>
      <c r="K339" s="8">
        <f t="shared" si="18"/>
        <v>7.9451592111717204</v>
      </c>
      <c r="L339" s="8">
        <f t="shared" si="20"/>
        <v>3.9725796055858602</v>
      </c>
    </row>
    <row r="340" spans="1:12" x14ac:dyDescent="0.25">
      <c r="A340" s="1">
        <v>339</v>
      </c>
      <c r="B340" s="1">
        <v>231</v>
      </c>
      <c r="C340" s="3" t="s">
        <v>49</v>
      </c>
      <c r="D340" s="5" t="s">
        <v>23</v>
      </c>
      <c r="E340" s="10">
        <v>1.95</v>
      </c>
      <c r="F340" s="10">
        <v>5.26</v>
      </c>
      <c r="G340" s="10">
        <f>F340-2</f>
        <v>3.26</v>
      </c>
      <c r="H340" s="10">
        <v>1.94</v>
      </c>
      <c r="I340" s="8">
        <f t="shared" si="19"/>
        <v>2.9559314399999996</v>
      </c>
      <c r="K340" s="8">
        <f t="shared" si="18"/>
        <v>3.2202186680862033</v>
      </c>
      <c r="L340" s="8">
        <f t="shared" si="20"/>
        <v>1.6101093340431016</v>
      </c>
    </row>
    <row r="341" spans="1:12" x14ac:dyDescent="0.25">
      <c r="A341" s="1">
        <v>340</v>
      </c>
      <c r="B341" s="1">
        <v>232</v>
      </c>
      <c r="C341" s="3" t="s">
        <v>49</v>
      </c>
      <c r="D341" s="5" t="s">
        <v>23</v>
      </c>
      <c r="E341" s="10">
        <v>1.1599999999999999</v>
      </c>
      <c r="F341" s="10">
        <v>9.17</v>
      </c>
      <c r="G341" s="10">
        <v>7.21</v>
      </c>
      <c r="H341" s="10">
        <v>1.97</v>
      </c>
      <c r="I341" s="8">
        <f t="shared" si="19"/>
        <v>3.0480588599999998</v>
      </c>
      <c r="K341" s="8">
        <f t="shared" si="18"/>
        <v>16.565718011895054</v>
      </c>
      <c r="L341" s="8">
        <f t="shared" si="20"/>
        <v>8.2828590059475271</v>
      </c>
    </row>
    <row r="342" spans="1:12" x14ac:dyDescent="0.25">
      <c r="A342" s="1">
        <v>341</v>
      </c>
      <c r="B342" s="1">
        <v>233</v>
      </c>
      <c r="C342" s="3" t="s">
        <v>49</v>
      </c>
      <c r="D342" s="5" t="s">
        <v>23</v>
      </c>
      <c r="E342" s="10">
        <v>2.13</v>
      </c>
      <c r="F342" s="10">
        <v>6.61</v>
      </c>
      <c r="G342" s="10">
        <f>F342-2</f>
        <v>4.6100000000000003</v>
      </c>
      <c r="H342" s="10">
        <v>2.06</v>
      </c>
      <c r="I342" s="8">
        <f t="shared" si="19"/>
        <v>3.3329234399999996</v>
      </c>
      <c r="K342" s="8">
        <f t="shared" si="18"/>
        <v>6.5827552050437514</v>
      </c>
      <c r="L342" s="8">
        <f t="shared" si="20"/>
        <v>3.2913776025218757</v>
      </c>
    </row>
    <row r="343" spans="1:12" x14ac:dyDescent="0.25">
      <c r="A343" s="1">
        <v>342</v>
      </c>
      <c r="B343" s="1">
        <v>234</v>
      </c>
      <c r="C343" s="3" t="s">
        <v>49</v>
      </c>
      <c r="D343" s="5" t="s">
        <v>23</v>
      </c>
      <c r="E343" s="10">
        <v>2.4</v>
      </c>
      <c r="F343" s="10">
        <v>5.84</v>
      </c>
      <c r="G343" s="10">
        <f>F343-2</f>
        <v>3.84</v>
      </c>
      <c r="H343" s="10">
        <v>1.94</v>
      </c>
      <c r="I343" s="8">
        <f t="shared" si="19"/>
        <v>2.9559314399999996</v>
      </c>
      <c r="K343" s="8">
        <f t="shared" si="18"/>
        <v>4.514694076401689</v>
      </c>
      <c r="L343" s="8">
        <f t="shared" si="20"/>
        <v>2.2573470382008445</v>
      </c>
    </row>
    <row r="344" spans="1:12" x14ac:dyDescent="0.25">
      <c r="A344" s="1">
        <v>343</v>
      </c>
      <c r="B344" s="1">
        <v>235</v>
      </c>
      <c r="C344" s="3" t="s">
        <v>49</v>
      </c>
      <c r="D344" s="5" t="s">
        <v>23</v>
      </c>
      <c r="E344" s="10">
        <v>1.1399999999999999</v>
      </c>
      <c r="F344" s="10">
        <v>5.54</v>
      </c>
      <c r="G344" s="10">
        <f>F344-2</f>
        <v>3.54</v>
      </c>
      <c r="H344" s="10">
        <v>1.85</v>
      </c>
      <c r="I344" s="8">
        <f t="shared" si="19"/>
        <v>2.6880315000000001</v>
      </c>
      <c r="K344" s="8">
        <f t="shared" si="18"/>
        <v>3.8170607924398769</v>
      </c>
      <c r="L344" s="8">
        <f t="shared" si="20"/>
        <v>1.9085303962199385</v>
      </c>
    </row>
    <row r="345" spans="1:12" x14ac:dyDescent="0.25">
      <c r="A345" s="1">
        <v>344</v>
      </c>
      <c r="B345" s="1">
        <v>236</v>
      </c>
      <c r="C345" s="3" t="s">
        <v>49</v>
      </c>
      <c r="D345" s="5" t="s">
        <v>23</v>
      </c>
      <c r="E345" s="10">
        <v>1.2</v>
      </c>
      <c r="F345" s="10">
        <v>9.8699999999999992</v>
      </c>
      <c r="G345" s="10">
        <v>7.6</v>
      </c>
      <c r="H345" s="10">
        <v>1.84</v>
      </c>
      <c r="I345" s="8">
        <f t="shared" si="19"/>
        <v>2.65905024</v>
      </c>
      <c r="K345" s="8">
        <f t="shared" si="18"/>
        <v>18.467992660324004</v>
      </c>
      <c r="L345" s="8">
        <f t="shared" si="20"/>
        <v>9.2339963301620021</v>
      </c>
    </row>
    <row r="346" spans="1:12" x14ac:dyDescent="0.25">
      <c r="A346" s="1">
        <v>345</v>
      </c>
      <c r="B346" s="1">
        <v>237</v>
      </c>
      <c r="C346" s="3" t="s">
        <v>49</v>
      </c>
      <c r="D346" s="5" t="s">
        <v>23</v>
      </c>
      <c r="E346" s="10">
        <v>1.45</v>
      </c>
      <c r="F346" s="10">
        <v>7.38</v>
      </c>
      <c r="G346" s="10">
        <v>3.9</v>
      </c>
      <c r="H346" s="10">
        <v>1.98</v>
      </c>
      <c r="I346" s="8">
        <f t="shared" si="19"/>
        <v>3.07908216</v>
      </c>
      <c r="K346" s="8">
        <f t="shared" si="18"/>
        <v>4.6614675167816264</v>
      </c>
      <c r="L346" s="8">
        <f t="shared" si="20"/>
        <v>2.3307337583908132</v>
      </c>
    </row>
    <row r="347" spans="1:12" x14ac:dyDescent="0.25">
      <c r="A347" s="1">
        <v>346</v>
      </c>
      <c r="B347" s="1">
        <v>238</v>
      </c>
      <c r="C347" s="3" t="s">
        <v>49</v>
      </c>
      <c r="D347" s="5" t="s">
        <v>23</v>
      </c>
      <c r="E347" s="10">
        <v>1.62</v>
      </c>
      <c r="F347" s="10">
        <v>10.07</v>
      </c>
      <c r="G347" s="10">
        <v>5.37</v>
      </c>
      <c r="H347" s="10">
        <v>1.69</v>
      </c>
      <c r="I347" s="8">
        <f t="shared" si="19"/>
        <v>2.2431809399999998</v>
      </c>
      <c r="K347" s="8">
        <f t="shared" si="18"/>
        <v>9.0190913176514442</v>
      </c>
      <c r="L347" s="8">
        <f t="shared" si="20"/>
        <v>4.5095456588257221</v>
      </c>
    </row>
    <row r="348" spans="1:12" x14ac:dyDescent="0.25">
      <c r="A348" s="1">
        <v>347</v>
      </c>
      <c r="B348" s="1">
        <v>239</v>
      </c>
      <c r="C348" s="3" t="s">
        <v>49</v>
      </c>
      <c r="D348" s="5" t="s">
        <v>23</v>
      </c>
      <c r="E348" s="10">
        <v>1.17</v>
      </c>
      <c r="F348" s="10">
        <v>5.46</v>
      </c>
      <c r="G348" s="10">
        <f>F348-2</f>
        <v>3.46</v>
      </c>
      <c r="H348" s="10">
        <v>2.06</v>
      </c>
      <c r="I348" s="8">
        <f t="shared" si="19"/>
        <v>3.3329234399999996</v>
      </c>
      <c r="K348" s="8">
        <f t="shared" si="18"/>
        <v>3.64119867033064</v>
      </c>
      <c r="L348" s="8">
        <f t="shared" si="20"/>
        <v>1.82059933516532</v>
      </c>
    </row>
    <row r="349" spans="1:12" x14ac:dyDescent="0.25">
      <c r="A349" s="1">
        <v>348</v>
      </c>
      <c r="B349" s="1">
        <v>240</v>
      </c>
      <c r="C349" s="3" t="s">
        <v>49</v>
      </c>
      <c r="D349" s="5" t="s">
        <v>23</v>
      </c>
      <c r="E349" s="10">
        <v>1.45</v>
      </c>
      <c r="F349" s="10">
        <v>7.21</v>
      </c>
      <c r="G349" s="10">
        <v>4.57</v>
      </c>
      <c r="H349" s="10">
        <v>1.71</v>
      </c>
      <c r="I349" s="8">
        <f t="shared" si="19"/>
        <v>2.2965881399999999</v>
      </c>
      <c r="K349" s="8">
        <f t="shared" si="18"/>
        <v>6.4654375985301122</v>
      </c>
      <c r="L349" s="8">
        <f t="shared" si="20"/>
        <v>3.2327187992650561</v>
      </c>
    </row>
    <row r="350" spans="1:12" x14ac:dyDescent="0.25">
      <c r="A350" s="1">
        <v>349</v>
      </c>
      <c r="B350" s="1">
        <v>241</v>
      </c>
      <c r="C350" s="3" t="s">
        <v>49</v>
      </c>
      <c r="D350" s="5" t="s">
        <v>23</v>
      </c>
      <c r="E350" s="10">
        <v>1.5</v>
      </c>
      <c r="F350" s="10">
        <v>8.7799999999999994</v>
      </c>
      <c r="G350" s="10">
        <v>5.61</v>
      </c>
      <c r="H350" s="10">
        <v>1.91</v>
      </c>
      <c r="I350" s="8">
        <f t="shared" si="19"/>
        <v>2.8652177399999998</v>
      </c>
      <c r="K350" s="8">
        <f t="shared" si="18"/>
        <v>9.8706490256025461</v>
      </c>
      <c r="L350" s="8">
        <f t="shared" si="20"/>
        <v>4.935324512801273</v>
      </c>
    </row>
    <row r="351" spans="1:12" x14ac:dyDescent="0.25">
      <c r="A351" s="1">
        <v>350</v>
      </c>
      <c r="B351" s="1">
        <v>242</v>
      </c>
      <c r="C351" s="3" t="s">
        <v>49</v>
      </c>
      <c r="D351" s="5" t="s">
        <v>23</v>
      </c>
      <c r="E351" s="10">
        <v>1.86</v>
      </c>
      <c r="F351" s="10">
        <v>10.54</v>
      </c>
      <c r="G351" s="10">
        <v>6.02</v>
      </c>
      <c r="H351" s="10">
        <v>2.0299999999999998</v>
      </c>
      <c r="I351" s="8">
        <f t="shared" si="19"/>
        <v>3.2365548599999991</v>
      </c>
      <c r="K351" s="8">
        <f t="shared" si="18"/>
        <v>11.417163102651509</v>
      </c>
      <c r="L351" s="8">
        <f t="shared" si="20"/>
        <v>5.7085815513257545</v>
      </c>
    </row>
    <row r="352" spans="1:12" x14ac:dyDescent="0.25">
      <c r="A352" s="1">
        <v>351</v>
      </c>
      <c r="B352" s="1">
        <v>243</v>
      </c>
      <c r="C352" s="3" t="s">
        <v>49</v>
      </c>
      <c r="D352" s="5" t="s">
        <v>23</v>
      </c>
      <c r="E352" s="10">
        <v>2</v>
      </c>
      <c r="F352" s="10">
        <v>7.23</v>
      </c>
      <c r="G352" s="10">
        <v>6.08</v>
      </c>
      <c r="H352" s="10">
        <v>1.73</v>
      </c>
      <c r="I352" s="8">
        <f t="shared" si="19"/>
        <v>2.3506236600000001</v>
      </c>
      <c r="K352" s="8">
        <f t="shared" si="18"/>
        <v>11.653218280097111</v>
      </c>
      <c r="L352" s="8">
        <f t="shared" si="20"/>
        <v>5.8266091400485553</v>
      </c>
    </row>
    <row r="353" spans="1:12" x14ac:dyDescent="0.25">
      <c r="A353" s="1">
        <v>352</v>
      </c>
      <c r="B353" s="1">
        <v>244</v>
      </c>
      <c r="C353" s="3" t="s">
        <v>49</v>
      </c>
      <c r="D353" s="5" t="s">
        <v>23</v>
      </c>
      <c r="E353" s="10">
        <v>2.11</v>
      </c>
      <c r="F353" s="10">
        <v>9.3800000000000008</v>
      </c>
      <c r="G353" s="10">
        <v>7.29</v>
      </c>
      <c r="H353" s="10">
        <v>1.88</v>
      </c>
      <c r="I353" s="8">
        <f t="shared" si="19"/>
        <v>2.7759177599999996</v>
      </c>
      <c r="K353" s="8">
        <f t="shared" si="18"/>
        <v>16.947244701746037</v>
      </c>
      <c r="L353" s="8">
        <f t="shared" si="20"/>
        <v>8.4736223508730184</v>
      </c>
    </row>
    <row r="354" spans="1:12" x14ac:dyDescent="0.25">
      <c r="A354" s="1">
        <v>353</v>
      </c>
      <c r="B354" s="1">
        <v>245</v>
      </c>
      <c r="C354" s="3" t="s">
        <v>49</v>
      </c>
      <c r="D354" s="5" t="s">
        <v>23</v>
      </c>
      <c r="E354" s="10">
        <v>1.78</v>
      </c>
      <c r="F354" s="10">
        <v>11.2</v>
      </c>
      <c r="G354" s="10">
        <v>9.6</v>
      </c>
      <c r="H354" s="10">
        <v>1.75</v>
      </c>
      <c r="I354" s="8">
        <f t="shared" si="19"/>
        <v>2.4052875</v>
      </c>
      <c r="K354" s="8">
        <f t="shared" si="18"/>
        <v>29.907322576319032</v>
      </c>
      <c r="L354" s="8">
        <f t="shared" si="20"/>
        <v>14.953661288159516</v>
      </c>
    </row>
    <row r="355" spans="1:12" x14ac:dyDescent="0.25">
      <c r="A355" s="1">
        <v>354</v>
      </c>
      <c r="B355" s="1">
        <v>246</v>
      </c>
      <c r="C355" s="3" t="s">
        <v>49</v>
      </c>
      <c r="D355" s="5" t="s">
        <v>23</v>
      </c>
      <c r="E355" s="10">
        <v>1.24</v>
      </c>
      <c r="F355" s="10">
        <v>9.31</v>
      </c>
      <c r="G355" s="10">
        <v>4.68</v>
      </c>
      <c r="H355" s="10">
        <v>1.78</v>
      </c>
      <c r="I355" s="8">
        <f t="shared" si="19"/>
        <v>2.4884613600000001</v>
      </c>
      <c r="K355" s="8">
        <f t="shared" si="18"/>
        <v>6.7906784037719463</v>
      </c>
      <c r="L355" s="8">
        <f t="shared" si="20"/>
        <v>3.3953392018859732</v>
      </c>
    </row>
    <row r="356" spans="1:12" x14ac:dyDescent="0.25">
      <c r="A356" s="1">
        <v>355</v>
      </c>
      <c r="B356" s="1">
        <v>247</v>
      </c>
      <c r="C356" s="3" t="s">
        <v>49</v>
      </c>
      <c r="D356" s="5" t="s">
        <v>23</v>
      </c>
      <c r="E356" s="10">
        <v>1.75</v>
      </c>
      <c r="F356" s="10">
        <v>6.63</v>
      </c>
      <c r="G356" s="10">
        <v>3.85</v>
      </c>
      <c r="H356" s="10">
        <v>1.82</v>
      </c>
      <c r="I356" s="8">
        <f t="shared" si="19"/>
        <v>2.6015589600000002</v>
      </c>
      <c r="K356" s="8">
        <f t="shared" si="18"/>
        <v>4.5389882756530318</v>
      </c>
      <c r="L356" s="8">
        <f t="shared" si="20"/>
        <v>2.2694941378265159</v>
      </c>
    </row>
    <row r="357" spans="1:12" x14ac:dyDescent="0.25">
      <c r="A357" s="1">
        <v>356</v>
      </c>
      <c r="B357" s="1">
        <v>248</v>
      </c>
      <c r="C357" s="3" t="s">
        <v>49</v>
      </c>
      <c r="D357" s="5" t="s">
        <v>23</v>
      </c>
      <c r="E357" s="10">
        <v>2.0099999999999998</v>
      </c>
      <c r="F357" s="10">
        <v>5.17</v>
      </c>
      <c r="G357" s="10">
        <v>4.38</v>
      </c>
      <c r="H357" s="10">
        <v>2.08</v>
      </c>
      <c r="I357" s="8">
        <f t="shared" si="19"/>
        <v>3.3979545600000005</v>
      </c>
      <c r="K357" s="8">
        <f t="shared" si="18"/>
        <v>5.9230128198195828</v>
      </c>
      <c r="L357" s="8">
        <f t="shared" si="20"/>
        <v>2.9615064099097914</v>
      </c>
    </row>
    <row r="358" spans="1:12" x14ac:dyDescent="0.25">
      <c r="A358" s="1">
        <v>357</v>
      </c>
      <c r="B358" s="1">
        <v>249</v>
      </c>
      <c r="C358" s="3" t="s">
        <v>49</v>
      </c>
      <c r="D358" s="5" t="s">
        <v>23</v>
      </c>
      <c r="E358" s="10">
        <v>1.51</v>
      </c>
      <c r="F358" s="10">
        <v>11.09</v>
      </c>
      <c r="G358" s="10">
        <v>9.2100000000000009</v>
      </c>
      <c r="H358" s="10">
        <v>1.78</v>
      </c>
      <c r="I358" s="8">
        <f t="shared" si="19"/>
        <v>2.4884613600000001</v>
      </c>
      <c r="K358" s="8">
        <f t="shared" si="18"/>
        <v>27.454313749599137</v>
      </c>
      <c r="L358" s="8">
        <f t="shared" si="20"/>
        <v>13.727156874799569</v>
      </c>
    </row>
    <row r="359" spans="1:12" x14ac:dyDescent="0.25">
      <c r="A359" s="1">
        <v>358</v>
      </c>
      <c r="B359" s="1">
        <v>250</v>
      </c>
      <c r="C359" s="3" t="s">
        <v>49</v>
      </c>
      <c r="D359" s="5" t="s">
        <v>23</v>
      </c>
      <c r="E359" s="10">
        <v>2.04</v>
      </c>
      <c r="F359" s="10">
        <v>5.15</v>
      </c>
      <c r="G359" s="10">
        <f>F359-2</f>
        <v>3.1500000000000004</v>
      </c>
      <c r="H359" s="10">
        <v>1.9</v>
      </c>
      <c r="I359" s="8">
        <f t="shared" si="19"/>
        <v>2.8352939999999998</v>
      </c>
      <c r="K359" s="8">
        <f t="shared" si="18"/>
        <v>3.0000236151704662</v>
      </c>
      <c r="L359" s="8">
        <f t="shared" si="20"/>
        <v>1.5000118075852331</v>
      </c>
    </row>
    <row r="360" spans="1:12" x14ac:dyDescent="0.25">
      <c r="A360" s="1">
        <v>359</v>
      </c>
      <c r="B360" s="1">
        <v>251</v>
      </c>
      <c r="C360" s="3" t="s">
        <v>49</v>
      </c>
      <c r="D360" s="5" t="s">
        <v>23</v>
      </c>
      <c r="E360" s="10">
        <v>1.95</v>
      </c>
      <c r="F360" s="10">
        <v>11.12</v>
      </c>
      <c r="G360" s="10">
        <v>5</v>
      </c>
      <c r="H360" s="10">
        <v>1.98</v>
      </c>
      <c r="I360" s="8">
        <f t="shared" si="19"/>
        <v>3.07908216</v>
      </c>
      <c r="K360" s="8">
        <f t="shared" si="18"/>
        <v>7.7836885400141007</v>
      </c>
      <c r="L360" s="8">
        <f t="shared" si="20"/>
        <v>3.8918442700070504</v>
      </c>
    </row>
    <row r="361" spans="1:12" x14ac:dyDescent="0.25">
      <c r="A361" s="1">
        <v>360</v>
      </c>
      <c r="B361" s="1">
        <v>252</v>
      </c>
      <c r="C361" s="3" t="s">
        <v>49</v>
      </c>
      <c r="D361" s="5" t="s">
        <v>23</v>
      </c>
      <c r="E361" s="10">
        <v>1.3</v>
      </c>
      <c r="F361" s="10">
        <v>8.6999999999999993</v>
      </c>
      <c r="G361" s="10">
        <f>F361-2</f>
        <v>6.6999999999999993</v>
      </c>
      <c r="H361" s="10">
        <v>1.92</v>
      </c>
      <c r="I361" s="8">
        <f t="shared" si="19"/>
        <v>2.8952985600000001</v>
      </c>
      <c r="K361" s="8">
        <f t="shared" si="18"/>
        <v>14.238564305391005</v>
      </c>
      <c r="L361" s="8">
        <f t="shared" si="20"/>
        <v>7.1192821526955026</v>
      </c>
    </row>
    <row r="362" spans="1:12" x14ac:dyDescent="0.25">
      <c r="A362" s="1">
        <v>361</v>
      </c>
      <c r="B362" s="1">
        <v>253</v>
      </c>
      <c r="C362" s="3" t="s">
        <v>49</v>
      </c>
      <c r="D362" s="5" t="s">
        <v>23</v>
      </c>
      <c r="E362" s="10">
        <v>1.4</v>
      </c>
      <c r="F362" s="10">
        <v>11.57</v>
      </c>
      <c r="G362" s="10">
        <v>9.0299999999999994</v>
      </c>
      <c r="H362" s="10">
        <v>1.7</v>
      </c>
      <c r="I362" s="8">
        <f t="shared" si="19"/>
        <v>2.2698059999999995</v>
      </c>
      <c r="K362" s="8">
        <f t="shared" si="18"/>
        <v>26.358610851044258</v>
      </c>
      <c r="L362" s="8">
        <f t="shared" si="20"/>
        <v>13.179305425522129</v>
      </c>
    </row>
    <row r="363" spans="1:12" x14ac:dyDescent="0.25">
      <c r="A363" s="1">
        <v>362</v>
      </c>
      <c r="B363" s="1">
        <v>254</v>
      </c>
      <c r="C363" s="3" t="s">
        <v>49</v>
      </c>
      <c r="D363" s="5" t="s">
        <v>23</v>
      </c>
      <c r="E363" s="10">
        <v>1.94</v>
      </c>
      <c r="F363" s="10">
        <v>10.59</v>
      </c>
      <c r="G363" s="10">
        <v>8.93</v>
      </c>
      <c r="H363" s="10">
        <v>1.94</v>
      </c>
      <c r="I363" s="8">
        <f t="shared" si="19"/>
        <v>2.9559314399999996</v>
      </c>
      <c r="K363" s="8">
        <f t="shared" si="18"/>
        <v>25.759820415981899</v>
      </c>
      <c r="L363" s="8">
        <f t="shared" si="20"/>
        <v>12.87991020799095</v>
      </c>
    </row>
    <row r="364" spans="1:12" x14ac:dyDescent="0.25">
      <c r="A364" s="1">
        <v>363</v>
      </c>
      <c r="B364" s="1">
        <v>255</v>
      </c>
      <c r="C364" s="3" t="s">
        <v>49</v>
      </c>
      <c r="D364" s="5" t="s">
        <v>23</v>
      </c>
      <c r="E364" s="10">
        <v>1.74</v>
      </c>
      <c r="F364" s="10">
        <v>11.99</v>
      </c>
      <c r="G364" s="10">
        <v>9.43</v>
      </c>
      <c r="H364" s="10">
        <v>1.68</v>
      </c>
      <c r="I364" s="8">
        <f t="shared" si="19"/>
        <v>2.2167129599999997</v>
      </c>
      <c r="K364" s="8">
        <f t="shared" si="18"/>
        <v>28.824761566435875</v>
      </c>
      <c r="L364" s="8">
        <f t="shared" si="20"/>
        <v>14.412380783217937</v>
      </c>
    </row>
    <row r="365" spans="1:12" x14ac:dyDescent="0.25">
      <c r="A365" s="1">
        <v>364</v>
      </c>
      <c r="B365" s="1">
        <v>256</v>
      </c>
      <c r="C365" s="3" t="s">
        <v>49</v>
      </c>
      <c r="D365" s="5" t="s">
        <v>23</v>
      </c>
      <c r="E365" s="10">
        <v>2.23</v>
      </c>
      <c r="F365" s="10">
        <v>7.45</v>
      </c>
      <c r="G365" s="10">
        <v>4.7699999999999996</v>
      </c>
      <c r="H365" s="10">
        <v>1.85</v>
      </c>
      <c r="I365" s="8">
        <f t="shared" si="19"/>
        <v>2.6880315000000001</v>
      </c>
      <c r="K365" s="8">
        <f t="shared" si="18"/>
        <v>7.0629075365077485</v>
      </c>
      <c r="L365" s="8">
        <f t="shared" si="20"/>
        <v>3.5314537682538742</v>
      </c>
    </row>
    <row r="366" spans="1:12" x14ac:dyDescent="0.25">
      <c r="A366" s="1">
        <v>365</v>
      </c>
      <c r="B366" s="1">
        <v>257</v>
      </c>
      <c r="C366" s="3" t="s">
        <v>49</v>
      </c>
      <c r="D366" s="5" t="s">
        <v>23</v>
      </c>
      <c r="E366" s="10">
        <v>1.68</v>
      </c>
      <c r="F366" s="10">
        <v>10.37</v>
      </c>
      <c r="G366" s="10">
        <v>8.2899999999999991</v>
      </c>
      <c r="H366" s="10">
        <v>1.79</v>
      </c>
      <c r="I366" s="8">
        <f t="shared" si="19"/>
        <v>2.5165001399999998</v>
      </c>
      <c r="K366" s="8">
        <f t="shared" si="18"/>
        <v>22.095209277824782</v>
      </c>
      <c r="L366" s="8">
        <f t="shared" si="20"/>
        <v>11.047604638912391</v>
      </c>
    </row>
    <row r="367" spans="1:12" x14ac:dyDescent="0.25">
      <c r="A367" s="1">
        <v>366</v>
      </c>
      <c r="B367" s="1">
        <v>258</v>
      </c>
      <c r="C367" s="3" t="s">
        <v>49</v>
      </c>
      <c r="D367" s="5" t="s">
        <v>23</v>
      </c>
      <c r="E367" s="10">
        <v>2.13</v>
      </c>
      <c r="F367" s="10">
        <v>7.81</v>
      </c>
      <c r="G367" s="10">
        <v>6.22</v>
      </c>
      <c r="H367" s="10">
        <v>1.9</v>
      </c>
      <c r="I367" s="8">
        <f t="shared" si="19"/>
        <v>2.8352939999999998</v>
      </c>
      <c r="K367" s="8">
        <f t="shared" ref="K367:K430" si="21">0.2811*G367^2.0635</f>
        <v>12.213701575445072</v>
      </c>
      <c r="L367" s="8">
        <f t="shared" si="20"/>
        <v>6.1068507877225358</v>
      </c>
    </row>
    <row r="368" spans="1:12" x14ac:dyDescent="0.25">
      <c r="A368" s="1">
        <v>367</v>
      </c>
      <c r="B368" s="1">
        <v>259</v>
      </c>
      <c r="C368" s="3" t="s">
        <v>49</v>
      </c>
      <c r="D368" s="5" t="s">
        <v>23</v>
      </c>
      <c r="E368" s="10">
        <v>1.1399999999999999</v>
      </c>
      <c r="F368" s="10">
        <v>8.36</v>
      </c>
      <c r="G368" s="10">
        <f>F368-2</f>
        <v>6.3599999999999994</v>
      </c>
      <c r="H368" s="10">
        <v>2.0099999999999998</v>
      </c>
      <c r="I368" s="8">
        <f t="shared" si="19"/>
        <v>3.1730945399999992</v>
      </c>
      <c r="K368" s="8">
        <f t="shared" si="21"/>
        <v>12.787763736192748</v>
      </c>
      <c r="L368" s="8">
        <f t="shared" si="20"/>
        <v>6.3938818680963738</v>
      </c>
    </row>
    <row r="369" spans="1:12" x14ac:dyDescent="0.25">
      <c r="A369" s="1">
        <v>368</v>
      </c>
      <c r="B369" s="1">
        <v>260</v>
      </c>
      <c r="C369" s="3" t="s">
        <v>49</v>
      </c>
      <c r="D369" s="5" t="s">
        <v>23</v>
      </c>
      <c r="E369" s="10">
        <v>1.67</v>
      </c>
      <c r="F369" s="10">
        <v>9.39</v>
      </c>
      <c r="G369" s="10">
        <v>8.1</v>
      </c>
      <c r="H369" s="10">
        <v>2.02</v>
      </c>
      <c r="I369" s="8">
        <f t="shared" si="19"/>
        <v>3.20474616</v>
      </c>
      <c r="K369" s="8">
        <f t="shared" si="21"/>
        <v>21.06297353436749</v>
      </c>
      <c r="L369" s="8">
        <f t="shared" si="20"/>
        <v>10.531486767183745</v>
      </c>
    </row>
    <row r="370" spans="1:12" x14ac:dyDescent="0.25">
      <c r="A370" s="1">
        <v>369</v>
      </c>
      <c r="B370" s="1">
        <v>261</v>
      </c>
      <c r="C370" s="3" t="s">
        <v>49</v>
      </c>
      <c r="D370" s="5" t="s">
        <v>23</v>
      </c>
      <c r="E370" s="10">
        <v>1.72</v>
      </c>
      <c r="F370" s="10">
        <v>11.12</v>
      </c>
      <c r="G370" s="10">
        <v>8.44</v>
      </c>
      <c r="H370" s="10">
        <v>2.0099999999999998</v>
      </c>
      <c r="I370" s="8">
        <f t="shared" si="19"/>
        <v>3.1730945399999992</v>
      </c>
      <c r="K370" s="8">
        <f t="shared" si="21"/>
        <v>22.928122015273225</v>
      </c>
      <c r="L370" s="8">
        <f t="shared" si="20"/>
        <v>11.464061007636612</v>
      </c>
    </row>
    <row r="371" spans="1:12" x14ac:dyDescent="0.25">
      <c r="A371" s="1">
        <v>370</v>
      </c>
      <c r="B371" s="1">
        <v>262</v>
      </c>
      <c r="C371" s="3" t="s">
        <v>49</v>
      </c>
      <c r="D371" s="5" t="s">
        <v>23</v>
      </c>
      <c r="E371" s="10">
        <v>2.04</v>
      </c>
      <c r="F371" s="10">
        <v>11.89</v>
      </c>
      <c r="G371" s="10">
        <v>7.59</v>
      </c>
      <c r="H371" s="10">
        <v>2.0699999999999998</v>
      </c>
      <c r="I371" s="8">
        <f t="shared" si="19"/>
        <v>3.3653604599999993</v>
      </c>
      <c r="K371" s="8">
        <f t="shared" si="21"/>
        <v>18.417884712901415</v>
      </c>
      <c r="L371" s="8">
        <f t="shared" si="20"/>
        <v>9.2089423564507076</v>
      </c>
    </row>
    <row r="372" spans="1:12" x14ac:dyDescent="0.25">
      <c r="A372" s="1">
        <v>371</v>
      </c>
      <c r="B372" s="1">
        <v>263</v>
      </c>
      <c r="C372" s="3" t="s">
        <v>49</v>
      </c>
      <c r="D372" s="5" t="s">
        <v>23</v>
      </c>
      <c r="E372" s="10">
        <v>2.2999999999999998</v>
      </c>
      <c r="F372" s="10">
        <v>10.38</v>
      </c>
      <c r="G372" s="10">
        <v>4.24</v>
      </c>
      <c r="H372" s="10">
        <v>1.72</v>
      </c>
      <c r="I372" s="8">
        <f t="shared" si="19"/>
        <v>2.3235273599999999</v>
      </c>
      <c r="K372" s="8">
        <f t="shared" si="21"/>
        <v>5.538986296332105</v>
      </c>
      <c r="L372" s="8">
        <f t="shared" si="20"/>
        <v>2.7694931481660525</v>
      </c>
    </row>
    <row r="373" spans="1:12" x14ac:dyDescent="0.25">
      <c r="A373" s="1">
        <v>372</v>
      </c>
      <c r="B373" s="1">
        <v>264</v>
      </c>
      <c r="C373" s="3" t="s">
        <v>49</v>
      </c>
      <c r="D373" s="5" t="s">
        <v>23</v>
      </c>
      <c r="E373" s="10">
        <v>1.5</v>
      </c>
      <c r="F373" s="10">
        <v>7.92</v>
      </c>
      <c r="G373" s="10">
        <v>6.82</v>
      </c>
      <c r="H373" s="10">
        <v>1.82</v>
      </c>
      <c r="I373" s="8">
        <f t="shared" si="19"/>
        <v>2.6015589600000002</v>
      </c>
      <c r="K373" s="8">
        <f t="shared" si="21"/>
        <v>14.769809801444969</v>
      </c>
      <c r="L373" s="8">
        <f t="shared" si="20"/>
        <v>7.3849049007224847</v>
      </c>
    </row>
    <row r="374" spans="1:12" x14ac:dyDescent="0.25">
      <c r="A374" s="1">
        <v>373</v>
      </c>
      <c r="B374" s="1">
        <v>265</v>
      </c>
      <c r="C374" s="3" t="s">
        <v>49</v>
      </c>
      <c r="D374" s="5" t="s">
        <v>23</v>
      </c>
      <c r="E374" s="10">
        <v>1.32</v>
      </c>
      <c r="F374" s="10">
        <v>7.95</v>
      </c>
      <c r="G374" s="10">
        <f>F374-2</f>
        <v>5.95</v>
      </c>
      <c r="H374" s="10">
        <v>1.81</v>
      </c>
      <c r="I374" s="8">
        <f t="shared" si="19"/>
        <v>2.5730489400000001</v>
      </c>
      <c r="K374" s="8">
        <f t="shared" si="21"/>
        <v>11.144910992479065</v>
      </c>
      <c r="L374" s="8">
        <f t="shared" si="20"/>
        <v>5.5724554962395327</v>
      </c>
    </row>
    <row r="375" spans="1:12" x14ac:dyDescent="0.25">
      <c r="A375" s="1">
        <v>374</v>
      </c>
      <c r="B375" s="1">
        <v>266</v>
      </c>
      <c r="C375" s="3" t="s">
        <v>49</v>
      </c>
      <c r="D375" s="5" t="s">
        <v>23</v>
      </c>
      <c r="E375" s="10">
        <v>1.1499999999999999</v>
      </c>
      <c r="F375" s="10">
        <v>10.16</v>
      </c>
      <c r="G375" s="10">
        <v>9.56</v>
      </c>
      <c r="H375" s="10">
        <v>1.98</v>
      </c>
      <c r="I375" s="8">
        <f t="shared" si="19"/>
        <v>3.07908216</v>
      </c>
      <c r="K375" s="8">
        <f t="shared" si="21"/>
        <v>29.650751586079686</v>
      </c>
      <c r="L375" s="8">
        <f t="shared" si="20"/>
        <v>14.825375793039843</v>
      </c>
    </row>
    <row r="376" spans="1:12" x14ac:dyDescent="0.25">
      <c r="A376" s="1">
        <v>375</v>
      </c>
      <c r="B376" s="1">
        <v>267</v>
      </c>
      <c r="C376" s="3" t="s">
        <v>49</v>
      </c>
      <c r="D376" s="5" t="s">
        <v>23</v>
      </c>
      <c r="E376" s="10">
        <v>1.83</v>
      </c>
      <c r="F376" s="10">
        <v>6.67</v>
      </c>
      <c r="G376" s="10">
        <v>3.3</v>
      </c>
      <c r="H376" s="10">
        <v>2.02</v>
      </c>
      <c r="I376" s="8">
        <f t="shared" si="19"/>
        <v>3.20474616</v>
      </c>
      <c r="K376" s="8">
        <f t="shared" si="21"/>
        <v>3.3022835454211199</v>
      </c>
      <c r="L376" s="8">
        <f t="shared" si="20"/>
        <v>1.65114177271056</v>
      </c>
    </row>
    <row r="377" spans="1:12" x14ac:dyDescent="0.25">
      <c r="A377" s="1">
        <v>376</v>
      </c>
      <c r="B377" s="1">
        <v>268</v>
      </c>
      <c r="C377" s="3" t="s">
        <v>49</v>
      </c>
      <c r="D377" s="5" t="s">
        <v>23</v>
      </c>
      <c r="E377" s="10">
        <v>1.58</v>
      </c>
      <c r="F377" s="10">
        <v>5.77</v>
      </c>
      <c r="G377" s="10">
        <v>4.1500000000000004</v>
      </c>
      <c r="H377" s="10">
        <v>2.0099999999999998</v>
      </c>
      <c r="I377" s="8">
        <f t="shared" si="19"/>
        <v>3.1730945399999992</v>
      </c>
      <c r="K377" s="8">
        <f t="shared" si="21"/>
        <v>5.2991119326445704</v>
      </c>
      <c r="L377" s="8">
        <f t="shared" si="20"/>
        <v>2.6495559663222852</v>
      </c>
    </row>
    <row r="378" spans="1:12" x14ac:dyDescent="0.25">
      <c r="A378" s="1">
        <v>377</v>
      </c>
      <c r="B378" s="1">
        <v>269</v>
      </c>
      <c r="C378" s="3" t="s">
        <v>49</v>
      </c>
      <c r="D378" s="5" t="s">
        <v>23</v>
      </c>
      <c r="E378" s="10">
        <v>2.09</v>
      </c>
      <c r="F378" s="10">
        <v>7.48</v>
      </c>
      <c r="G378" s="10">
        <v>3.92</v>
      </c>
      <c r="H378" s="10">
        <v>2.02</v>
      </c>
      <c r="I378" s="8">
        <f t="shared" si="19"/>
        <v>3.20474616</v>
      </c>
      <c r="K378" s="8">
        <f t="shared" si="21"/>
        <v>4.7109299330343282</v>
      </c>
      <c r="L378" s="8">
        <f t="shared" si="20"/>
        <v>2.3554649665171641</v>
      </c>
    </row>
    <row r="379" spans="1:12" x14ac:dyDescent="0.25">
      <c r="A379" s="1">
        <v>378</v>
      </c>
      <c r="B379" s="1">
        <v>270</v>
      </c>
      <c r="C379" s="3" t="s">
        <v>49</v>
      </c>
      <c r="D379" s="5" t="s">
        <v>23</v>
      </c>
      <c r="E379" s="10">
        <v>1.71</v>
      </c>
      <c r="F379" s="10">
        <v>7.01</v>
      </c>
      <c r="G379" s="10">
        <f>F379-2</f>
        <v>5.01</v>
      </c>
      <c r="H379" s="10">
        <v>1.97</v>
      </c>
      <c r="I379" s="8">
        <f t="shared" si="19"/>
        <v>3.0480588599999998</v>
      </c>
      <c r="K379" s="8">
        <f t="shared" si="21"/>
        <v>7.8158459871753543</v>
      </c>
      <c r="L379" s="8">
        <f t="shared" si="20"/>
        <v>3.9079229935876771</v>
      </c>
    </row>
    <row r="380" spans="1:12" x14ac:dyDescent="0.25">
      <c r="A380" s="1">
        <v>379</v>
      </c>
      <c r="B380" s="1">
        <v>271</v>
      </c>
      <c r="C380" s="3" t="s">
        <v>49</v>
      </c>
      <c r="D380" s="5" t="s">
        <v>23</v>
      </c>
      <c r="E380" s="10">
        <v>2.0499999999999998</v>
      </c>
      <c r="F380" s="10">
        <v>7.07</v>
      </c>
      <c r="G380" s="10">
        <f>F380-2</f>
        <v>5.07</v>
      </c>
      <c r="H380" s="10">
        <v>2.02</v>
      </c>
      <c r="I380" s="8">
        <f t="shared" si="19"/>
        <v>3.20474616</v>
      </c>
      <c r="K380" s="8">
        <f t="shared" si="21"/>
        <v>8.0102260051305816</v>
      </c>
      <c r="L380" s="8">
        <f t="shared" si="20"/>
        <v>4.0051130025652908</v>
      </c>
    </row>
    <row r="381" spans="1:12" x14ac:dyDescent="0.25">
      <c r="A381" s="1">
        <v>380</v>
      </c>
      <c r="B381" s="1">
        <v>272</v>
      </c>
      <c r="C381" s="3" t="s">
        <v>49</v>
      </c>
      <c r="D381" s="5" t="s">
        <v>23</v>
      </c>
      <c r="E381" s="10">
        <v>2.37</v>
      </c>
      <c r="F381" s="10">
        <v>6.64</v>
      </c>
      <c r="G381" s="10">
        <v>4.49</v>
      </c>
      <c r="H381" s="10">
        <v>2.0099999999999998</v>
      </c>
      <c r="I381" s="8">
        <f t="shared" si="19"/>
        <v>3.1730945399999992</v>
      </c>
      <c r="K381" s="8">
        <f t="shared" si="21"/>
        <v>6.2340627620766984</v>
      </c>
      <c r="L381" s="8">
        <f t="shared" si="20"/>
        <v>3.1170313810383492</v>
      </c>
    </row>
    <row r="382" spans="1:12" x14ac:dyDescent="0.25">
      <c r="A382" s="1">
        <v>381</v>
      </c>
      <c r="B382" s="1">
        <v>273</v>
      </c>
      <c r="C382" s="3" t="s">
        <v>49</v>
      </c>
      <c r="D382" s="5" t="s">
        <v>23</v>
      </c>
      <c r="E382" s="10">
        <v>1.27</v>
      </c>
      <c r="F382" s="10">
        <v>5.29</v>
      </c>
      <c r="G382" s="10">
        <f>F382-2</f>
        <v>3.29</v>
      </c>
      <c r="H382" s="10">
        <v>1.69</v>
      </c>
      <c r="I382" s="8">
        <f t="shared" si="19"/>
        <v>2.2431809399999998</v>
      </c>
      <c r="K382" s="8">
        <f t="shared" si="21"/>
        <v>3.281667537704104</v>
      </c>
      <c r="L382" s="8">
        <f t="shared" si="20"/>
        <v>1.640833768852052</v>
      </c>
    </row>
    <row r="383" spans="1:12" x14ac:dyDescent="0.25">
      <c r="A383" s="1">
        <v>382</v>
      </c>
      <c r="B383" s="1">
        <v>274</v>
      </c>
      <c r="C383" s="3" t="s">
        <v>49</v>
      </c>
      <c r="D383" s="5" t="s">
        <v>23</v>
      </c>
      <c r="E383" s="10">
        <v>1.77</v>
      </c>
      <c r="F383" s="10">
        <v>5.13</v>
      </c>
      <c r="G383" s="10">
        <f>F383-2</f>
        <v>3.13</v>
      </c>
      <c r="H383" s="10">
        <v>1.81</v>
      </c>
      <c r="I383" s="8">
        <f t="shared" si="19"/>
        <v>2.5730489400000001</v>
      </c>
      <c r="K383" s="8">
        <f t="shared" si="21"/>
        <v>2.9608512274163559</v>
      </c>
      <c r="L383" s="8">
        <f t="shared" si="20"/>
        <v>1.4804256137081779</v>
      </c>
    </row>
    <row r="384" spans="1:12" x14ac:dyDescent="0.25">
      <c r="A384" s="1">
        <v>383</v>
      </c>
      <c r="B384" s="1">
        <v>275</v>
      </c>
      <c r="C384" s="3" t="s">
        <v>49</v>
      </c>
      <c r="D384" s="5" t="s">
        <v>23</v>
      </c>
      <c r="E384" s="10">
        <v>1.65</v>
      </c>
      <c r="F384" s="10">
        <v>11.91</v>
      </c>
      <c r="G384" s="10">
        <v>8.1300000000000008</v>
      </c>
      <c r="H384" s="10">
        <v>1.82</v>
      </c>
      <c r="I384" s="8">
        <f t="shared" si="19"/>
        <v>2.6015589600000002</v>
      </c>
      <c r="K384" s="8">
        <f t="shared" si="21"/>
        <v>21.224266317459797</v>
      </c>
      <c r="L384" s="8">
        <f t="shared" si="20"/>
        <v>10.612133158729899</v>
      </c>
    </row>
    <row r="385" spans="1:12" x14ac:dyDescent="0.25">
      <c r="A385" s="1">
        <v>384</v>
      </c>
      <c r="B385" s="1">
        <v>276</v>
      </c>
      <c r="C385" s="3" t="s">
        <v>49</v>
      </c>
      <c r="D385" s="5" t="s">
        <v>23</v>
      </c>
      <c r="E385" s="10">
        <v>2.16</v>
      </c>
      <c r="F385" s="10">
        <v>7.99</v>
      </c>
      <c r="G385" s="10">
        <v>6.8</v>
      </c>
      <c r="H385" s="10">
        <v>1.85</v>
      </c>
      <c r="I385" s="8">
        <f t="shared" si="19"/>
        <v>2.6880315000000001</v>
      </c>
      <c r="K385" s="8">
        <f t="shared" si="21"/>
        <v>14.680572325367066</v>
      </c>
      <c r="L385" s="8">
        <f t="shared" si="20"/>
        <v>7.3402861626835332</v>
      </c>
    </row>
    <row r="386" spans="1:12" x14ac:dyDescent="0.25">
      <c r="A386" s="1">
        <v>385</v>
      </c>
      <c r="B386" s="1">
        <v>277</v>
      </c>
      <c r="C386" s="3" t="s">
        <v>49</v>
      </c>
      <c r="D386" s="5" t="s">
        <v>23</v>
      </c>
      <c r="E386" s="10">
        <v>1.75</v>
      </c>
      <c r="F386" s="10">
        <v>7.69</v>
      </c>
      <c r="G386" s="10">
        <v>7.13</v>
      </c>
      <c r="H386" s="10">
        <v>1.86</v>
      </c>
      <c r="I386" s="8">
        <f t="shared" si="19"/>
        <v>2.7171698400000004</v>
      </c>
      <c r="K386" s="8">
        <f t="shared" si="21"/>
        <v>16.188667026606463</v>
      </c>
      <c r="L386" s="8">
        <f t="shared" si="20"/>
        <v>8.0943335133032317</v>
      </c>
    </row>
    <row r="387" spans="1:12" x14ac:dyDescent="0.25">
      <c r="A387" s="1">
        <v>386</v>
      </c>
      <c r="B387" s="1">
        <v>278</v>
      </c>
      <c r="C387" s="3" t="s">
        <v>49</v>
      </c>
      <c r="D387" s="5" t="s">
        <v>23</v>
      </c>
      <c r="E387" s="10">
        <v>1.3</v>
      </c>
      <c r="F387" s="10">
        <v>9.76</v>
      </c>
      <c r="G387" s="10">
        <v>6.56</v>
      </c>
      <c r="H387" s="10">
        <v>1.88</v>
      </c>
      <c r="I387" s="8">
        <f t="shared" ref="I387:I450" si="22">0.7854*H387^2</f>
        <v>2.7759177599999996</v>
      </c>
      <c r="K387" s="8">
        <f t="shared" si="21"/>
        <v>13.631445707472789</v>
      </c>
      <c r="L387" s="8">
        <f t="shared" ref="L387:L450" si="23">K387*0.5</f>
        <v>6.8157228537363945</v>
      </c>
    </row>
    <row r="388" spans="1:12" x14ac:dyDescent="0.25">
      <c r="A388" s="1">
        <v>387</v>
      </c>
      <c r="B388" s="1">
        <v>279</v>
      </c>
      <c r="C388" s="3" t="s">
        <v>49</v>
      </c>
      <c r="D388" s="5" t="s">
        <v>23</v>
      </c>
      <c r="E388" s="10">
        <v>2.31</v>
      </c>
      <c r="F388" s="10">
        <v>6.53</v>
      </c>
      <c r="G388" s="10">
        <v>5.08</v>
      </c>
      <c r="H388" s="10">
        <v>1.98</v>
      </c>
      <c r="I388" s="8">
        <f t="shared" si="22"/>
        <v>3.07908216</v>
      </c>
      <c r="K388" s="8">
        <f t="shared" si="21"/>
        <v>8.0428619776756953</v>
      </c>
      <c r="L388" s="8">
        <f t="shared" si="23"/>
        <v>4.0214309888378477</v>
      </c>
    </row>
    <row r="389" spans="1:12" x14ac:dyDescent="0.25">
      <c r="A389" s="1">
        <v>388</v>
      </c>
      <c r="B389" s="1">
        <v>280</v>
      </c>
      <c r="C389" s="3" t="s">
        <v>49</v>
      </c>
      <c r="D389" s="5" t="s">
        <v>23</v>
      </c>
      <c r="E389" s="10">
        <v>2.17</v>
      </c>
      <c r="F389" s="10">
        <v>11.65</v>
      </c>
      <c r="G389" s="10">
        <v>6.96</v>
      </c>
      <c r="H389" s="10">
        <v>1.94</v>
      </c>
      <c r="I389" s="8">
        <f t="shared" si="22"/>
        <v>2.9559314399999996</v>
      </c>
      <c r="K389" s="8">
        <f t="shared" si="21"/>
        <v>15.402279905044482</v>
      </c>
      <c r="L389" s="8">
        <f t="shared" si="23"/>
        <v>7.701139952522241</v>
      </c>
    </row>
    <row r="390" spans="1:12" x14ac:dyDescent="0.25">
      <c r="A390" s="1">
        <v>389</v>
      </c>
      <c r="B390" s="1">
        <v>281</v>
      </c>
      <c r="C390" s="3" t="s">
        <v>49</v>
      </c>
      <c r="D390" s="5" t="s">
        <v>23</v>
      </c>
      <c r="E390" s="10">
        <v>2.31</v>
      </c>
      <c r="F390" s="10">
        <v>10.5</v>
      </c>
      <c r="G390" s="10">
        <v>7.82</v>
      </c>
      <c r="H390" s="10">
        <v>1.92</v>
      </c>
      <c r="I390" s="8">
        <f t="shared" si="22"/>
        <v>2.8952985600000001</v>
      </c>
      <c r="K390" s="8">
        <f t="shared" si="21"/>
        <v>19.58813013172561</v>
      </c>
      <c r="L390" s="8">
        <f t="shared" si="23"/>
        <v>9.7940650658628048</v>
      </c>
    </row>
    <row r="391" spans="1:12" x14ac:dyDescent="0.25">
      <c r="A391" s="1">
        <v>390</v>
      </c>
      <c r="B391" s="1">
        <v>282</v>
      </c>
      <c r="C391" s="3" t="s">
        <v>49</v>
      </c>
      <c r="D391" s="5" t="s">
        <v>23</v>
      </c>
      <c r="E391" s="10">
        <v>1.99</v>
      </c>
      <c r="F391" s="10">
        <v>5.63</v>
      </c>
      <c r="G391" s="10">
        <f>F391-2</f>
        <v>3.63</v>
      </c>
      <c r="H391" s="10">
        <v>1.94</v>
      </c>
      <c r="I391" s="8">
        <f t="shared" si="22"/>
        <v>2.9559314399999996</v>
      </c>
      <c r="K391" s="8">
        <f t="shared" si="21"/>
        <v>4.0200195614420116</v>
      </c>
      <c r="L391" s="8">
        <f t="shared" si="23"/>
        <v>2.0100097807210058</v>
      </c>
    </row>
    <row r="392" spans="1:12" x14ac:dyDescent="0.25">
      <c r="A392" s="1">
        <v>391</v>
      </c>
      <c r="B392" s="1">
        <v>283</v>
      </c>
      <c r="C392" s="3" t="s">
        <v>49</v>
      </c>
      <c r="D392" s="5" t="s">
        <v>23</v>
      </c>
      <c r="E392" s="10">
        <v>1.54</v>
      </c>
      <c r="F392" s="10">
        <v>7.92</v>
      </c>
      <c r="G392" s="10">
        <v>7.45</v>
      </c>
      <c r="H392" s="10">
        <v>1.98</v>
      </c>
      <c r="I392" s="8">
        <f t="shared" si="22"/>
        <v>3.07908216</v>
      </c>
      <c r="K392" s="8">
        <f t="shared" si="21"/>
        <v>17.723737712137488</v>
      </c>
      <c r="L392" s="8">
        <f t="shared" si="23"/>
        <v>8.8618688560687442</v>
      </c>
    </row>
    <row r="393" spans="1:12" x14ac:dyDescent="0.25">
      <c r="A393" s="1">
        <v>392</v>
      </c>
      <c r="B393" s="1">
        <v>284</v>
      </c>
      <c r="C393" s="3" t="s">
        <v>49</v>
      </c>
      <c r="D393" s="5" t="s">
        <v>23</v>
      </c>
      <c r="E393" s="10">
        <v>2.19</v>
      </c>
      <c r="F393" s="10">
        <v>11.15</v>
      </c>
      <c r="G393" s="10">
        <v>8.33</v>
      </c>
      <c r="H393" s="10">
        <v>1.97</v>
      </c>
      <c r="I393" s="8">
        <f t="shared" si="22"/>
        <v>3.0480588599999998</v>
      </c>
      <c r="K393" s="8">
        <f t="shared" si="21"/>
        <v>22.315766369929143</v>
      </c>
      <c r="L393" s="8">
        <f t="shared" si="23"/>
        <v>11.157883184964572</v>
      </c>
    </row>
    <row r="394" spans="1:12" x14ac:dyDescent="0.25">
      <c r="A394" s="1">
        <v>393</v>
      </c>
      <c r="B394" s="1">
        <v>285</v>
      </c>
      <c r="C394" s="3" t="s">
        <v>49</v>
      </c>
      <c r="D394" s="5" t="s">
        <v>23</v>
      </c>
      <c r="E394" s="10">
        <v>1.56</v>
      </c>
      <c r="F394" s="10">
        <v>11.61</v>
      </c>
      <c r="G394" s="10">
        <v>4.12</v>
      </c>
      <c r="H394" s="10">
        <v>1.89</v>
      </c>
      <c r="I394" s="8">
        <f t="shared" si="22"/>
        <v>2.8055273399999998</v>
      </c>
      <c r="K394" s="8">
        <f t="shared" si="21"/>
        <v>5.2203695871628453</v>
      </c>
      <c r="L394" s="8">
        <f t="shared" si="23"/>
        <v>2.6101847935814226</v>
      </c>
    </row>
    <row r="395" spans="1:12" x14ac:dyDescent="0.25">
      <c r="A395" s="1">
        <v>394</v>
      </c>
      <c r="B395" s="1">
        <v>286</v>
      </c>
      <c r="C395" s="3" t="s">
        <v>49</v>
      </c>
      <c r="D395" s="5" t="s">
        <v>23</v>
      </c>
      <c r="E395" s="10">
        <v>2.2999999999999998</v>
      </c>
      <c r="F395" s="10">
        <v>8.27</v>
      </c>
      <c r="G395" s="10">
        <v>6.23</v>
      </c>
      <c r="H395" s="10">
        <v>1.83</v>
      </c>
      <c r="I395" s="8">
        <f t="shared" si="22"/>
        <v>2.6302260600000005</v>
      </c>
      <c r="K395" s="8">
        <f t="shared" si="21"/>
        <v>12.254255466192342</v>
      </c>
      <c r="L395" s="8">
        <f t="shared" si="23"/>
        <v>6.1271277330961711</v>
      </c>
    </row>
    <row r="396" spans="1:12" x14ac:dyDescent="0.25">
      <c r="A396" s="1">
        <v>395</v>
      </c>
      <c r="B396" s="1">
        <v>287</v>
      </c>
      <c r="C396" s="3" t="s">
        <v>49</v>
      </c>
      <c r="D396" s="5" t="s">
        <v>23</v>
      </c>
      <c r="E396" s="10">
        <v>1.68</v>
      </c>
      <c r="F396" s="10">
        <v>9.2899999999999991</v>
      </c>
      <c r="G396" s="10">
        <v>3.07</v>
      </c>
      <c r="H396" s="10">
        <v>1.79</v>
      </c>
      <c r="I396" s="8">
        <f t="shared" si="22"/>
        <v>2.5165001399999998</v>
      </c>
      <c r="K396" s="8">
        <f t="shared" si="21"/>
        <v>2.844925404258063</v>
      </c>
      <c r="L396" s="8">
        <f t="shared" si="23"/>
        <v>1.4224627021290315</v>
      </c>
    </row>
    <row r="397" spans="1:12" x14ac:dyDescent="0.25">
      <c r="A397" s="1">
        <v>396</v>
      </c>
      <c r="B397" s="1">
        <v>288</v>
      </c>
      <c r="C397" s="3" t="s">
        <v>49</v>
      </c>
      <c r="D397" s="5" t="s">
        <v>23</v>
      </c>
      <c r="E397" s="10">
        <v>2.06</v>
      </c>
      <c r="F397" s="10">
        <v>6.17</v>
      </c>
      <c r="G397" s="10">
        <v>4.7300000000000004</v>
      </c>
      <c r="H397" s="10">
        <v>1.74</v>
      </c>
      <c r="I397" s="8">
        <f t="shared" si="22"/>
        <v>2.37787704</v>
      </c>
      <c r="K397" s="8">
        <f t="shared" si="21"/>
        <v>6.9412359837100812</v>
      </c>
      <c r="L397" s="8">
        <f t="shared" si="23"/>
        <v>3.4706179918550406</v>
      </c>
    </row>
    <row r="398" spans="1:12" x14ac:dyDescent="0.25">
      <c r="A398" s="1">
        <v>397</v>
      </c>
      <c r="B398" s="1">
        <v>289</v>
      </c>
      <c r="C398" s="3" t="s">
        <v>49</v>
      </c>
      <c r="D398" s="5" t="s">
        <v>23</v>
      </c>
      <c r="E398" s="10">
        <v>1.4</v>
      </c>
      <c r="F398" s="10">
        <v>11.94</v>
      </c>
      <c r="G398" s="10">
        <v>8.09</v>
      </c>
      <c r="H398" s="10">
        <v>1.72</v>
      </c>
      <c r="I398" s="8">
        <f t="shared" si="22"/>
        <v>2.3235273599999999</v>
      </c>
      <c r="K398" s="8">
        <f t="shared" si="21"/>
        <v>21.009350184137059</v>
      </c>
      <c r="L398" s="8">
        <f t="shared" si="23"/>
        <v>10.504675092068529</v>
      </c>
    </row>
    <row r="399" spans="1:12" x14ac:dyDescent="0.25">
      <c r="A399" s="1">
        <v>398</v>
      </c>
      <c r="B399" s="1">
        <v>290</v>
      </c>
      <c r="C399" s="3" t="s">
        <v>49</v>
      </c>
      <c r="D399" s="5" t="s">
        <v>23</v>
      </c>
      <c r="E399" s="10">
        <v>1.88</v>
      </c>
      <c r="F399" s="10">
        <v>6.62</v>
      </c>
      <c r="G399" s="10">
        <f>F399-2</f>
        <v>4.62</v>
      </c>
      <c r="H399" s="10">
        <v>1.81</v>
      </c>
      <c r="I399" s="8">
        <f t="shared" si="22"/>
        <v>2.5730489400000001</v>
      </c>
      <c r="K399" s="8">
        <f t="shared" si="21"/>
        <v>6.612254520167034</v>
      </c>
      <c r="L399" s="8">
        <f t="shared" si="23"/>
        <v>3.306127260083517</v>
      </c>
    </row>
    <row r="400" spans="1:12" x14ac:dyDescent="0.25">
      <c r="A400" s="1">
        <v>399</v>
      </c>
      <c r="B400" s="1">
        <v>291</v>
      </c>
      <c r="C400" s="3" t="s">
        <v>49</v>
      </c>
      <c r="D400" s="5" t="s">
        <v>23</v>
      </c>
      <c r="E400" s="10">
        <v>1.1200000000000001</v>
      </c>
      <c r="F400" s="10">
        <v>11.6</v>
      </c>
      <c r="G400" s="10">
        <v>3.69</v>
      </c>
      <c r="H400" s="10">
        <v>1.86</v>
      </c>
      <c r="I400" s="8">
        <f t="shared" si="22"/>
        <v>2.7171698400000004</v>
      </c>
      <c r="K400" s="8">
        <f t="shared" si="21"/>
        <v>4.1583376669513124</v>
      </c>
      <c r="L400" s="8">
        <f t="shared" si="23"/>
        <v>2.0791688334756562</v>
      </c>
    </row>
    <row r="401" spans="1:12" x14ac:dyDescent="0.25">
      <c r="A401" s="1">
        <v>400</v>
      </c>
      <c r="B401" s="1">
        <v>292</v>
      </c>
      <c r="C401" s="3" t="s">
        <v>49</v>
      </c>
      <c r="D401" s="5" t="s">
        <v>23</v>
      </c>
      <c r="E401" s="10">
        <v>2.1</v>
      </c>
      <c r="F401" s="10">
        <v>9.5500000000000007</v>
      </c>
      <c r="G401" s="10">
        <v>5.81</v>
      </c>
      <c r="H401" s="10">
        <v>1.82</v>
      </c>
      <c r="I401" s="8">
        <f t="shared" si="22"/>
        <v>2.6015589600000002</v>
      </c>
      <c r="K401" s="8">
        <f t="shared" si="21"/>
        <v>10.610559737695631</v>
      </c>
      <c r="L401" s="8">
        <f t="shared" si="23"/>
        <v>5.3052798688478155</v>
      </c>
    </row>
    <row r="402" spans="1:12" x14ac:dyDescent="0.25">
      <c r="A402" s="1">
        <v>401</v>
      </c>
      <c r="B402" s="1">
        <v>293</v>
      </c>
      <c r="C402" s="3" t="s">
        <v>49</v>
      </c>
      <c r="D402" s="5" t="s">
        <v>23</v>
      </c>
      <c r="E402" s="10">
        <v>1.74</v>
      </c>
      <c r="F402" s="10">
        <v>9.25</v>
      </c>
      <c r="G402" s="10">
        <v>8.6</v>
      </c>
      <c r="H402" s="10">
        <v>1.95</v>
      </c>
      <c r="I402" s="8">
        <f t="shared" si="22"/>
        <v>2.9864834999999998</v>
      </c>
      <c r="K402" s="8">
        <f t="shared" si="21"/>
        <v>23.834080384772633</v>
      </c>
      <c r="L402" s="8">
        <f t="shared" si="23"/>
        <v>11.917040192386317</v>
      </c>
    </row>
    <row r="403" spans="1:12" x14ac:dyDescent="0.25">
      <c r="A403" s="1">
        <v>402</v>
      </c>
      <c r="B403" s="1">
        <v>294</v>
      </c>
      <c r="C403" s="3" t="s">
        <v>49</v>
      </c>
      <c r="D403" s="5" t="s">
        <v>23</v>
      </c>
      <c r="E403" s="10">
        <v>1.33</v>
      </c>
      <c r="F403" s="10">
        <v>8.59</v>
      </c>
      <c r="G403" s="10">
        <v>4.43</v>
      </c>
      <c r="H403" s="10">
        <v>1.88</v>
      </c>
      <c r="I403" s="8">
        <f t="shared" si="22"/>
        <v>2.7759177599999996</v>
      </c>
      <c r="K403" s="8">
        <f t="shared" si="21"/>
        <v>6.0633820631454229</v>
      </c>
      <c r="L403" s="8">
        <f t="shared" si="23"/>
        <v>3.0316910315727115</v>
      </c>
    </row>
    <row r="404" spans="1:12" x14ac:dyDescent="0.25">
      <c r="A404" s="1">
        <v>403</v>
      </c>
      <c r="B404" s="1">
        <v>295</v>
      </c>
      <c r="C404" s="3" t="s">
        <v>49</v>
      </c>
      <c r="D404" s="5" t="s">
        <v>23</v>
      </c>
      <c r="E404" s="10">
        <v>1.76</v>
      </c>
      <c r="F404" s="10">
        <v>6.61</v>
      </c>
      <c r="G404" s="10">
        <f>F404-2</f>
        <v>4.6100000000000003</v>
      </c>
      <c r="H404" s="10">
        <v>1.93</v>
      </c>
      <c r="I404" s="8">
        <f t="shared" si="22"/>
        <v>2.92553646</v>
      </c>
      <c r="K404" s="8">
        <f t="shared" si="21"/>
        <v>6.5827552050437514</v>
      </c>
      <c r="L404" s="8">
        <f t="shared" si="23"/>
        <v>3.2913776025218757</v>
      </c>
    </row>
    <row r="405" spans="1:12" x14ac:dyDescent="0.25">
      <c r="A405" s="1">
        <v>404</v>
      </c>
      <c r="B405" s="1">
        <v>296</v>
      </c>
      <c r="C405" s="3" t="s">
        <v>49</v>
      </c>
      <c r="D405" s="5" t="s">
        <v>23</v>
      </c>
      <c r="E405" s="10">
        <v>1.46</v>
      </c>
      <c r="F405" s="10">
        <v>6.24</v>
      </c>
      <c r="G405" s="10">
        <f>F405-2</f>
        <v>4.24</v>
      </c>
      <c r="H405" s="10">
        <v>1.88</v>
      </c>
      <c r="I405" s="8">
        <f t="shared" si="22"/>
        <v>2.7759177599999996</v>
      </c>
      <c r="K405" s="8">
        <f t="shared" si="21"/>
        <v>5.538986296332105</v>
      </c>
      <c r="L405" s="8">
        <f t="shared" si="23"/>
        <v>2.7694931481660525</v>
      </c>
    </row>
    <row r="406" spans="1:12" x14ac:dyDescent="0.25">
      <c r="A406" s="1">
        <v>405</v>
      </c>
      <c r="B406" s="1">
        <v>297</v>
      </c>
      <c r="C406" s="3" t="s">
        <v>49</v>
      </c>
      <c r="D406" s="5" t="s">
        <v>23</v>
      </c>
      <c r="E406" s="10">
        <v>1.36</v>
      </c>
      <c r="F406" s="10">
        <v>6.54</v>
      </c>
      <c r="G406" s="10">
        <f>F406-2</f>
        <v>4.54</v>
      </c>
      <c r="H406" s="10">
        <v>2.09</v>
      </c>
      <c r="I406" s="8">
        <f t="shared" si="22"/>
        <v>3.4307057399999992</v>
      </c>
      <c r="K406" s="8">
        <f t="shared" si="21"/>
        <v>6.3781627668151755</v>
      </c>
      <c r="L406" s="8">
        <f t="shared" si="23"/>
        <v>3.1890813834075877</v>
      </c>
    </row>
    <row r="407" spans="1:12" x14ac:dyDescent="0.25">
      <c r="A407" s="1">
        <v>406</v>
      </c>
      <c r="B407" s="1">
        <v>298</v>
      </c>
      <c r="C407" s="3" t="s">
        <v>49</v>
      </c>
      <c r="D407" s="5" t="s">
        <v>23</v>
      </c>
      <c r="E407" s="10">
        <v>1.62</v>
      </c>
      <c r="F407" s="10">
        <v>6.31</v>
      </c>
      <c r="G407" s="10">
        <v>4.32</v>
      </c>
      <c r="H407" s="10">
        <v>1.86</v>
      </c>
      <c r="I407" s="8">
        <f t="shared" si="22"/>
        <v>2.7171698400000004</v>
      </c>
      <c r="K407" s="8">
        <f t="shared" si="21"/>
        <v>5.7568055075997844</v>
      </c>
      <c r="L407" s="8">
        <f t="shared" si="23"/>
        <v>2.8784027537998922</v>
      </c>
    </row>
    <row r="408" spans="1:12" x14ac:dyDescent="0.25">
      <c r="A408" s="1">
        <v>407</v>
      </c>
      <c r="B408" s="1">
        <v>299</v>
      </c>
      <c r="C408" s="3" t="s">
        <v>49</v>
      </c>
      <c r="D408" s="5" t="s">
        <v>23</v>
      </c>
      <c r="E408" s="10">
        <v>1.22</v>
      </c>
      <c r="F408" s="10">
        <v>10.46</v>
      </c>
      <c r="G408" s="10">
        <v>5.49</v>
      </c>
      <c r="H408" s="10">
        <v>2</v>
      </c>
      <c r="I408" s="8">
        <f t="shared" si="22"/>
        <v>3.1415999999999999</v>
      </c>
      <c r="K408" s="8">
        <f t="shared" si="21"/>
        <v>9.4399214032782961</v>
      </c>
      <c r="L408" s="8">
        <f t="shared" si="23"/>
        <v>4.719960701639148</v>
      </c>
    </row>
    <row r="409" spans="1:12" x14ac:dyDescent="0.25">
      <c r="A409" s="1">
        <v>408</v>
      </c>
      <c r="B409" s="1">
        <v>300</v>
      </c>
      <c r="C409" s="3" t="s">
        <v>49</v>
      </c>
      <c r="D409" s="5" t="s">
        <v>23</v>
      </c>
      <c r="E409" s="10">
        <v>1.81</v>
      </c>
      <c r="F409" s="10">
        <v>7.45</v>
      </c>
      <c r="G409" s="10">
        <f>F409-2</f>
        <v>5.45</v>
      </c>
      <c r="H409" s="10">
        <v>1.77</v>
      </c>
      <c r="I409" s="8">
        <f t="shared" si="22"/>
        <v>2.4605796600000001</v>
      </c>
      <c r="K409" s="8">
        <f t="shared" si="21"/>
        <v>9.298545661359503</v>
      </c>
      <c r="L409" s="8">
        <f t="shared" si="23"/>
        <v>4.6492728306797515</v>
      </c>
    </row>
    <row r="410" spans="1:12" x14ac:dyDescent="0.25">
      <c r="A410" s="1">
        <v>409</v>
      </c>
      <c r="B410" s="1">
        <v>301</v>
      </c>
      <c r="C410" s="3" t="s">
        <v>49</v>
      </c>
      <c r="D410" s="5" t="s">
        <v>23</v>
      </c>
      <c r="E410" s="10">
        <v>1.89</v>
      </c>
      <c r="F410" s="10">
        <v>5.4</v>
      </c>
      <c r="G410" s="10">
        <f>F410-2</f>
        <v>3.4000000000000004</v>
      </c>
      <c r="H410" s="10">
        <v>2.0299999999999998</v>
      </c>
      <c r="I410" s="8">
        <f t="shared" si="22"/>
        <v>3.2365548599999991</v>
      </c>
      <c r="K410" s="8">
        <f t="shared" si="21"/>
        <v>3.512105805193471</v>
      </c>
      <c r="L410" s="8">
        <f t="shared" si="23"/>
        <v>1.7560529025967355</v>
      </c>
    </row>
    <row r="411" spans="1:12" x14ac:dyDescent="0.25">
      <c r="A411" s="1">
        <v>410</v>
      </c>
      <c r="B411" s="1">
        <v>302</v>
      </c>
      <c r="C411" s="3" t="s">
        <v>49</v>
      </c>
      <c r="D411" s="5" t="s">
        <v>23</v>
      </c>
      <c r="E411" s="10">
        <v>1.8</v>
      </c>
      <c r="F411" s="10">
        <v>11.78</v>
      </c>
      <c r="G411" s="10">
        <v>3.04</v>
      </c>
      <c r="H411" s="10">
        <v>2.0699999999999998</v>
      </c>
      <c r="I411" s="8">
        <f t="shared" si="22"/>
        <v>3.3653604599999993</v>
      </c>
      <c r="K411" s="8">
        <f t="shared" si="21"/>
        <v>2.7878569488735776</v>
      </c>
      <c r="L411" s="8">
        <f t="shared" si="23"/>
        <v>1.3939284744367888</v>
      </c>
    </row>
    <row r="412" spans="1:12" x14ac:dyDescent="0.25">
      <c r="A412" s="1">
        <v>411</v>
      </c>
      <c r="B412" s="1">
        <v>303</v>
      </c>
      <c r="C412" s="3" t="s">
        <v>49</v>
      </c>
      <c r="D412" s="5" t="s">
        <v>23</v>
      </c>
      <c r="E412" s="10">
        <v>1.9</v>
      </c>
      <c r="F412" s="10">
        <v>11.19</v>
      </c>
      <c r="G412" s="10">
        <v>8.33</v>
      </c>
      <c r="H412" s="10">
        <v>2.0699999999999998</v>
      </c>
      <c r="I412" s="8">
        <f t="shared" si="22"/>
        <v>3.3653604599999993</v>
      </c>
      <c r="K412" s="8">
        <f t="shared" si="21"/>
        <v>22.315766369929143</v>
      </c>
      <c r="L412" s="8">
        <f t="shared" si="23"/>
        <v>11.157883184964572</v>
      </c>
    </row>
    <row r="413" spans="1:12" x14ac:dyDescent="0.25">
      <c r="A413" s="1">
        <v>412</v>
      </c>
      <c r="B413" s="1">
        <v>304</v>
      </c>
      <c r="C413" s="3" t="s">
        <v>49</v>
      </c>
      <c r="D413" s="5" t="s">
        <v>23</v>
      </c>
      <c r="E413" s="10">
        <v>2.19</v>
      </c>
      <c r="F413" s="10">
        <v>11.49</v>
      </c>
      <c r="G413" s="10">
        <v>3.25</v>
      </c>
      <c r="H413" s="10">
        <v>1.91</v>
      </c>
      <c r="I413" s="8">
        <f t="shared" si="22"/>
        <v>2.8652177399999998</v>
      </c>
      <c r="K413" s="8">
        <f t="shared" si="21"/>
        <v>3.1998687197350622</v>
      </c>
      <c r="L413" s="8">
        <f t="shared" si="23"/>
        <v>1.5999343598675311</v>
      </c>
    </row>
    <row r="414" spans="1:12" x14ac:dyDescent="0.25">
      <c r="A414" s="1">
        <v>413</v>
      </c>
      <c r="B414" s="1">
        <v>305</v>
      </c>
      <c r="C414" s="3" t="s">
        <v>49</v>
      </c>
      <c r="D414" s="5" t="s">
        <v>23</v>
      </c>
      <c r="E414" s="10">
        <v>1.21</v>
      </c>
      <c r="F414" s="10">
        <v>11.96</v>
      </c>
      <c r="G414" s="10">
        <v>8.2200000000000006</v>
      </c>
      <c r="H414" s="10">
        <v>1.73</v>
      </c>
      <c r="I414" s="8">
        <f t="shared" si="22"/>
        <v>2.3506236600000001</v>
      </c>
      <c r="K414" s="8">
        <f t="shared" si="21"/>
        <v>21.711950545544767</v>
      </c>
      <c r="L414" s="8">
        <f t="shared" si="23"/>
        <v>10.855975272772383</v>
      </c>
    </row>
    <row r="415" spans="1:12" x14ac:dyDescent="0.25">
      <c r="A415" s="1">
        <v>414</v>
      </c>
      <c r="B415" s="1">
        <v>306</v>
      </c>
      <c r="C415" s="3" t="s">
        <v>49</v>
      </c>
      <c r="D415" s="5" t="s">
        <v>23</v>
      </c>
      <c r="E415" s="10">
        <v>1.38</v>
      </c>
      <c r="F415" s="10">
        <v>6.22</v>
      </c>
      <c r="G415" s="10">
        <v>4.42</v>
      </c>
      <c r="H415" s="10">
        <v>1.94</v>
      </c>
      <c r="I415" s="8">
        <f t="shared" si="22"/>
        <v>2.9559314399999996</v>
      </c>
      <c r="K415" s="8">
        <f t="shared" si="21"/>
        <v>6.0351726472941793</v>
      </c>
      <c r="L415" s="8">
        <f t="shared" si="23"/>
        <v>3.0175863236470897</v>
      </c>
    </row>
    <row r="416" spans="1:12" x14ac:dyDescent="0.25">
      <c r="A416" s="1">
        <v>415</v>
      </c>
      <c r="B416" s="1">
        <v>307</v>
      </c>
      <c r="C416" s="3" t="s">
        <v>49</v>
      </c>
      <c r="D416" s="5" t="s">
        <v>23</v>
      </c>
      <c r="E416" s="10">
        <v>1.91</v>
      </c>
      <c r="F416" s="10">
        <v>7.77</v>
      </c>
      <c r="G416" s="10">
        <f>F416-2</f>
        <v>5.77</v>
      </c>
      <c r="H416" s="10">
        <v>1.76</v>
      </c>
      <c r="I416" s="8">
        <f t="shared" si="22"/>
        <v>2.4328550399999997</v>
      </c>
      <c r="K416" s="8">
        <f t="shared" si="21"/>
        <v>10.460372157171879</v>
      </c>
      <c r="L416" s="8">
        <f t="shared" si="23"/>
        <v>5.2301860785859393</v>
      </c>
    </row>
    <row r="417" spans="1:12" x14ac:dyDescent="0.25">
      <c r="A417" s="1">
        <v>416</v>
      </c>
      <c r="B417" s="1">
        <v>308</v>
      </c>
      <c r="C417" s="3" t="s">
        <v>49</v>
      </c>
      <c r="D417" s="5" t="s">
        <v>23</v>
      </c>
      <c r="E417" s="10">
        <v>2.17</v>
      </c>
      <c r="F417" s="10">
        <v>10.31</v>
      </c>
      <c r="G417" s="10">
        <v>5.58</v>
      </c>
      <c r="H417" s="10">
        <v>1.99</v>
      </c>
      <c r="I417" s="8">
        <f t="shared" si="22"/>
        <v>3.1102625399999999</v>
      </c>
      <c r="K417" s="8">
        <f t="shared" si="21"/>
        <v>9.7620384775142846</v>
      </c>
      <c r="L417" s="8">
        <f t="shared" si="23"/>
        <v>4.8810192387571423</v>
      </c>
    </row>
    <row r="418" spans="1:12" x14ac:dyDescent="0.25">
      <c r="A418" s="1">
        <v>417</v>
      </c>
      <c r="B418" s="1">
        <v>309</v>
      </c>
      <c r="C418" s="3" t="s">
        <v>49</v>
      </c>
      <c r="D418" s="5" t="s">
        <v>23</v>
      </c>
      <c r="E418" s="10">
        <v>1.3</v>
      </c>
      <c r="F418" s="10">
        <v>9.8699999999999992</v>
      </c>
      <c r="G418" s="10">
        <v>5.29</v>
      </c>
      <c r="H418" s="10">
        <v>1.93</v>
      </c>
      <c r="I418" s="8">
        <f t="shared" si="22"/>
        <v>2.92553646</v>
      </c>
      <c r="K418" s="8">
        <f t="shared" si="21"/>
        <v>8.7440297157412878</v>
      </c>
      <c r="L418" s="8">
        <f t="shared" si="23"/>
        <v>4.3720148578706439</v>
      </c>
    </row>
    <row r="419" spans="1:12" x14ac:dyDescent="0.25">
      <c r="A419" s="1">
        <v>418</v>
      </c>
      <c r="B419" s="1">
        <v>310</v>
      </c>
      <c r="C419" s="3" t="s">
        <v>49</v>
      </c>
      <c r="D419" s="5" t="s">
        <v>23</v>
      </c>
      <c r="E419" s="10">
        <v>1.2</v>
      </c>
      <c r="F419" s="10">
        <v>6.08</v>
      </c>
      <c r="G419" s="10">
        <v>4.04</v>
      </c>
      <c r="H419" s="10">
        <v>1.97</v>
      </c>
      <c r="I419" s="8">
        <f t="shared" si="22"/>
        <v>3.0480588599999998</v>
      </c>
      <c r="K419" s="8">
        <f t="shared" si="21"/>
        <v>5.0133588560936664</v>
      </c>
      <c r="L419" s="8">
        <f t="shared" si="23"/>
        <v>2.5066794280468332</v>
      </c>
    </row>
    <row r="420" spans="1:12" x14ac:dyDescent="0.25">
      <c r="A420" s="1">
        <v>419</v>
      </c>
      <c r="B420" s="1">
        <v>311</v>
      </c>
      <c r="C420" s="3" t="s">
        <v>49</v>
      </c>
      <c r="D420" s="5" t="s">
        <v>23</v>
      </c>
      <c r="E420" s="10">
        <v>1.43</v>
      </c>
      <c r="F420" s="10">
        <v>10.71</v>
      </c>
      <c r="G420" s="10">
        <v>5.14</v>
      </c>
      <c r="H420" s="10">
        <v>1.87</v>
      </c>
      <c r="I420" s="8">
        <f t="shared" si="22"/>
        <v>2.7464652600000004</v>
      </c>
      <c r="K420" s="8">
        <f t="shared" si="21"/>
        <v>8.2401144089858835</v>
      </c>
      <c r="L420" s="8">
        <f t="shared" si="23"/>
        <v>4.1200572044929418</v>
      </c>
    </row>
    <row r="421" spans="1:12" x14ac:dyDescent="0.25">
      <c r="A421" s="1">
        <v>420</v>
      </c>
      <c r="B421" s="1">
        <v>312</v>
      </c>
      <c r="C421" s="3" t="s">
        <v>49</v>
      </c>
      <c r="D421" s="5" t="s">
        <v>23</v>
      </c>
      <c r="E421" s="10">
        <v>1.35</v>
      </c>
      <c r="F421" s="10">
        <v>6.57</v>
      </c>
      <c r="G421" s="10">
        <f>F421-2</f>
        <v>4.57</v>
      </c>
      <c r="H421" s="10">
        <v>1.74</v>
      </c>
      <c r="I421" s="8">
        <f t="shared" si="22"/>
        <v>2.37787704</v>
      </c>
      <c r="K421" s="8">
        <f t="shared" si="21"/>
        <v>6.4654375985301122</v>
      </c>
      <c r="L421" s="8">
        <f t="shared" si="23"/>
        <v>3.2327187992650561</v>
      </c>
    </row>
    <row r="422" spans="1:12" x14ac:dyDescent="0.25">
      <c r="A422" s="1">
        <v>421</v>
      </c>
      <c r="B422" s="1">
        <v>313</v>
      </c>
      <c r="C422" s="3" t="s">
        <v>49</v>
      </c>
      <c r="D422" s="5" t="s">
        <v>23</v>
      </c>
      <c r="E422" s="10">
        <v>1.1299999999999999</v>
      </c>
      <c r="F422" s="10">
        <v>6.57</v>
      </c>
      <c r="G422" s="10">
        <f>F422-2</f>
        <v>4.57</v>
      </c>
      <c r="H422" s="10">
        <v>1.79</v>
      </c>
      <c r="I422" s="8">
        <f t="shared" si="22"/>
        <v>2.5165001399999998</v>
      </c>
      <c r="K422" s="8">
        <f t="shared" si="21"/>
        <v>6.4654375985301122</v>
      </c>
      <c r="L422" s="8">
        <f t="shared" si="23"/>
        <v>3.2327187992650561</v>
      </c>
    </row>
    <row r="423" spans="1:12" x14ac:dyDescent="0.25">
      <c r="A423" s="1">
        <v>422</v>
      </c>
      <c r="B423" s="1">
        <v>314</v>
      </c>
      <c r="C423" s="3" t="s">
        <v>49</v>
      </c>
      <c r="D423" s="5" t="s">
        <v>23</v>
      </c>
      <c r="E423" s="10">
        <v>1.22</v>
      </c>
      <c r="F423" s="10">
        <v>8.76</v>
      </c>
      <c r="G423" s="10">
        <v>5.58</v>
      </c>
      <c r="H423" s="10">
        <v>1.84</v>
      </c>
      <c r="I423" s="8">
        <f t="shared" si="22"/>
        <v>2.65905024</v>
      </c>
      <c r="K423" s="8">
        <f t="shared" si="21"/>
        <v>9.7620384775142846</v>
      </c>
      <c r="L423" s="8">
        <f t="shared" si="23"/>
        <v>4.8810192387571423</v>
      </c>
    </row>
    <row r="424" spans="1:12" x14ac:dyDescent="0.25">
      <c r="A424" s="1">
        <v>423</v>
      </c>
      <c r="B424" s="1">
        <v>315</v>
      </c>
      <c r="C424" s="3" t="s">
        <v>49</v>
      </c>
      <c r="D424" s="5" t="s">
        <v>23</v>
      </c>
      <c r="E424" s="10">
        <v>2.0099999999999998</v>
      </c>
      <c r="F424" s="10">
        <v>9.15</v>
      </c>
      <c r="G424" s="10">
        <v>6.14</v>
      </c>
      <c r="H424" s="10">
        <v>1.92</v>
      </c>
      <c r="I424" s="8">
        <f t="shared" si="22"/>
        <v>2.8952985600000001</v>
      </c>
      <c r="K424" s="8">
        <f t="shared" si="21"/>
        <v>11.89176393710153</v>
      </c>
      <c r="L424" s="8">
        <f t="shared" si="23"/>
        <v>5.9458819685507649</v>
      </c>
    </row>
    <row r="425" spans="1:12" x14ac:dyDescent="0.25">
      <c r="A425" s="1">
        <v>424</v>
      </c>
      <c r="B425" s="1">
        <v>316</v>
      </c>
      <c r="C425" s="3" t="s">
        <v>49</v>
      </c>
      <c r="D425" s="5" t="s">
        <v>23</v>
      </c>
      <c r="E425" s="10">
        <v>1.83</v>
      </c>
      <c r="F425" s="10">
        <v>9.06</v>
      </c>
      <c r="G425" s="10">
        <v>8.0500000000000007</v>
      </c>
      <c r="H425" s="10">
        <v>2</v>
      </c>
      <c r="I425" s="8">
        <f t="shared" si="22"/>
        <v>3.1415999999999999</v>
      </c>
      <c r="K425" s="8">
        <f t="shared" si="21"/>
        <v>20.795561189807074</v>
      </c>
      <c r="L425" s="8">
        <f t="shared" si="23"/>
        <v>10.397780594903537</v>
      </c>
    </row>
    <row r="426" spans="1:12" x14ac:dyDescent="0.25">
      <c r="A426" s="1">
        <v>425</v>
      </c>
      <c r="B426" s="1">
        <v>317</v>
      </c>
      <c r="C426" s="3" t="s">
        <v>49</v>
      </c>
      <c r="D426" s="5" t="s">
        <v>23</v>
      </c>
      <c r="E426" s="10">
        <v>1.43</v>
      </c>
      <c r="F426" s="10">
        <v>5.64</v>
      </c>
      <c r="G426" s="10">
        <f>F426-2</f>
        <v>3.6399999999999997</v>
      </c>
      <c r="H426" s="10">
        <v>1.92</v>
      </c>
      <c r="I426" s="8">
        <f t="shared" si="22"/>
        <v>2.8952985600000001</v>
      </c>
      <c r="K426" s="8">
        <f t="shared" si="21"/>
        <v>4.0429051335480288</v>
      </c>
      <c r="L426" s="8">
        <f t="shared" si="23"/>
        <v>2.0214525667740144</v>
      </c>
    </row>
    <row r="427" spans="1:12" x14ac:dyDescent="0.25">
      <c r="A427" s="1">
        <v>426</v>
      </c>
      <c r="B427" s="1">
        <v>318</v>
      </c>
      <c r="C427" s="3" t="s">
        <v>49</v>
      </c>
      <c r="D427" s="5" t="s">
        <v>23</v>
      </c>
      <c r="E427" s="10">
        <v>1.85</v>
      </c>
      <c r="F427" s="10">
        <v>11.14</v>
      </c>
      <c r="G427" s="10">
        <v>7.15</v>
      </c>
      <c r="H427" s="10">
        <v>1.95</v>
      </c>
      <c r="I427" s="8">
        <f t="shared" si="22"/>
        <v>2.9864834999999998</v>
      </c>
      <c r="K427" s="8">
        <f t="shared" si="21"/>
        <v>16.282510348420868</v>
      </c>
      <c r="L427" s="8">
        <f t="shared" si="23"/>
        <v>8.1412551742104338</v>
      </c>
    </row>
    <row r="428" spans="1:12" x14ac:dyDescent="0.25">
      <c r="A428" s="1">
        <v>427</v>
      </c>
      <c r="B428" s="1">
        <v>319</v>
      </c>
      <c r="C428" s="3" t="s">
        <v>49</v>
      </c>
      <c r="D428" s="5" t="s">
        <v>23</v>
      </c>
      <c r="E428" s="10">
        <v>1.55</v>
      </c>
      <c r="F428" s="10">
        <v>6.86</v>
      </c>
      <c r="G428" s="10">
        <v>5.74</v>
      </c>
      <c r="H428" s="10">
        <v>1.83</v>
      </c>
      <c r="I428" s="8">
        <f t="shared" si="22"/>
        <v>2.6302260600000005</v>
      </c>
      <c r="K428" s="8">
        <f t="shared" si="21"/>
        <v>10.348455478543244</v>
      </c>
      <c r="L428" s="8">
        <f t="shared" si="23"/>
        <v>5.1742277392716218</v>
      </c>
    </row>
    <row r="429" spans="1:12" x14ac:dyDescent="0.25">
      <c r="A429" s="1">
        <v>428</v>
      </c>
      <c r="B429" s="1">
        <v>320</v>
      </c>
      <c r="C429" s="3" t="s">
        <v>49</v>
      </c>
      <c r="D429" s="5" t="s">
        <v>23</v>
      </c>
      <c r="E429" s="10">
        <v>1.43</v>
      </c>
      <c r="F429" s="10">
        <v>5.91</v>
      </c>
      <c r="G429" s="10">
        <f>F429-2</f>
        <v>3.91</v>
      </c>
      <c r="H429" s="10">
        <v>1.88</v>
      </c>
      <c r="I429" s="8">
        <f t="shared" si="22"/>
        <v>2.7759177599999996</v>
      </c>
      <c r="K429" s="8">
        <f t="shared" si="21"/>
        <v>4.6861650911010058</v>
      </c>
      <c r="L429" s="8">
        <f t="shared" si="23"/>
        <v>2.3430825455505029</v>
      </c>
    </row>
    <row r="430" spans="1:12" x14ac:dyDescent="0.25">
      <c r="A430" s="1">
        <v>429</v>
      </c>
      <c r="B430" s="1">
        <v>321</v>
      </c>
      <c r="C430" s="3" t="s">
        <v>49</v>
      </c>
      <c r="D430" s="5" t="s">
        <v>23</v>
      </c>
      <c r="E430" s="10">
        <v>2.27</v>
      </c>
      <c r="F430" s="10">
        <v>11.22</v>
      </c>
      <c r="G430" s="10">
        <v>7.87</v>
      </c>
      <c r="H430" s="10">
        <v>1.77</v>
      </c>
      <c r="I430" s="8">
        <f t="shared" si="22"/>
        <v>2.4605796600000001</v>
      </c>
      <c r="K430" s="8">
        <f t="shared" si="21"/>
        <v>19.847449510725511</v>
      </c>
      <c r="L430" s="8">
        <f t="shared" si="23"/>
        <v>9.9237247553627554</v>
      </c>
    </row>
    <row r="431" spans="1:12" x14ac:dyDescent="0.25">
      <c r="A431" s="1">
        <v>430</v>
      </c>
      <c r="B431" s="1">
        <v>322</v>
      </c>
      <c r="C431" s="3" t="s">
        <v>49</v>
      </c>
      <c r="D431" s="5" t="s">
        <v>23</v>
      </c>
      <c r="E431" s="10">
        <v>2.0699999999999998</v>
      </c>
      <c r="F431" s="10">
        <v>11.69</v>
      </c>
      <c r="G431" s="10">
        <v>3.02</v>
      </c>
      <c r="H431" s="10">
        <v>1.96</v>
      </c>
      <c r="I431" s="8">
        <f t="shared" si="22"/>
        <v>3.0171926399999998</v>
      </c>
      <c r="K431" s="8">
        <f t="shared" ref="K431:K494" si="24">0.2811*G431^2.0635</f>
        <v>2.7501423404344911</v>
      </c>
      <c r="L431" s="8">
        <f t="shared" si="23"/>
        <v>1.3750711702172456</v>
      </c>
    </row>
    <row r="432" spans="1:12" x14ac:dyDescent="0.25">
      <c r="A432" s="1">
        <v>431</v>
      </c>
      <c r="B432" s="1">
        <v>323</v>
      </c>
      <c r="C432" s="3" t="s">
        <v>49</v>
      </c>
      <c r="D432" s="5" t="s">
        <v>23</v>
      </c>
      <c r="E432" s="10">
        <v>1.77</v>
      </c>
      <c r="F432" s="10">
        <v>11.03</v>
      </c>
      <c r="G432" s="10">
        <v>7.34</v>
      </c>
      <c r="H432" s="10">
        <v>1.77</v>
      </c>
      <c r="I432" s="8">
        <f t="shared" si="22"/>
        <v>2.4605796600000001</v>
      </c>
      <c r="K432" s="8">
        <f t="shared" si="24"/>
        <v>17.187973096972023</v>
      </c>
      <c r="L432" s="8">
        <f t="shared" si="23"/>
        <v>8.5939865484860114</v>
      </c>
    </row>
    <row r="433" spans="1:12" x14ac:dyDescent="0.25">
      <c r="A433" s="1">
        <v>432</v>
      </c>
      <c r="B433" s="1">
        <v>324</v>
      </c>
      <c r="C433" s="3" t="s">
        <v>49</v>
      </c>
      <c r="D433" s="5" t="s">
        <v>23</v>
      </c>
      <c r="E433" s="10">
        <v>2.1800000000000002</v>
      </c>
      <c r="F433" s="10">
        <v>10.67</v>
      </c>
      <c r="G433" s="10">
        <v>5.49</v>
      </c>
      <c r="H433" s="10">
        <v>1.88</v>
      </c>
      <c r="I433" s="8">
        <f t="shared" si="22"/>
        <v>2.7759177599999996</v>
      </c>
      <c r="K433" s="8">
        <f t="shared" si="24"/>
        <v>9.4399214032782961</v>
      </c>
      <c r="L433" s="8">
        <f t="shared" si="23"/>
        <v>4.719960701639148</v>
      </c>
    </row>
    <row r="434" spans="1:12" x14ac:dyDescent="0.25">
      <c r="A434" s="1">
        <v>433</v>
      </c>
      <c r="B434" s="1">
        <v>325</v>
      </c>
      <c r="C434" s="3" t="s">
        <v>49</v>
      </c>
      <c r="D434" s="5" t="s">
        <v>23</v>
      </c>
      <c r="E434" s="10">
        <v>2.11</v>
      </c>
      <c r="F434" s="10">
        <v>9.59</v>
      </c>
      <c r="G434" s="10">
        <v>8.56</v>
      </c>
      <c r="H434" s="10">
        <v>1.91</v>
      </c>
      <c r="I434" s="8">
        <f t="shared" si="22"/>
        <v>2.8652177399999998</v>
      </c>
      <c r="K434" s="8">
        <f t="shared" si="24"/>
        <v>23.605894346992759</v>
      </c>
      <c r="L434" s="8">
        <f t="shared" si="23"/>
        <v>11.80294717349638</v>
      </c>
    </row>
    <row r="435" spans="1:12" x14ac:dyDescent="0.25">
      <c r="A435" s="1">
        <v>434</v>
      </c>
      <c r="B435" s="1">
        <v>326</v>
      </c>
      <c r="C435" s="3" t="s">
        <v>49</v>
      </c>
      <c r="D435" s="5" t="s">
        <v>23</v>
      </c>
      <c r="E435" s="10">
        <v>2.31</v>
      </c>
      <c r="F435" s="10">
        <v>8.86</v>
      </c>
      <c r="G435" s="10">
        <v>3.65</v>
      </c>
      <c r="H435" s="10">
        <v>1.73</v>
      </c>
      <c r="I435" s="8">
        <f t="shared" si="22"/>
        <v>2.3506236600000001</v>
      </c>
      <c r="K435" s="8">
        <f t="shared" si="24"/>
        <v>4.0658576683198433</v>
      </c>
      <c r="L435" s="8">
        <f t="shared" si="23"/>
        <v>2.0329288341599216</v>
      </c>
    </row>
    <row r="436" spans="1:12" x14ac:dyDescent="0.25">
      <c r="A436" s="1">
        <v>435</v>
      </c>
      <c r="B436" s="1">
        <v>327</v>
      </c>
      <c r="C436" s="3" t="s">
        <v>49</v>
      </c>
      <c r="D436" s="5" t="s">
        <v>23</v>
      </c>
      <c r="E436" s="10">
        <v>1.46</v>
      </c>
      <c r="F436" s="10">
        <v>5.61</v>
      </c>
      <c r="G436" s="10">
        <f>F436-2</f>
        <v>3.6100000000000003</v>
      </c>
      <c r="H436" s="10">
        <v>1.78</v>
      </c>
      <c r="I436" s="8">
        <f t="shared" si="22"/>
        <v>2.4884613600000001</v>
      </c>
      <c r="K436" s="8">
        <f t="shared" si="24"/>
        <v>3.9744492584101887</v>
      </c>
      <c r="L436" s="8">
        <f t="shared" si="23"/>
        <v>1.9872246292050944</v>
      </c>
    </row>
    <row r="437" spans="1:12" x14ac:dyDescent="0.25">
      <c r="A437" s="1">
        <v>436</v>
      </c>
      <c r="B437" s="1">
        <v>328</v>
      </c>
      <c r="C437" s="3" t="s">
        <v>49</v>
      </c>
      <c r="D437" s="5" t="s">
        <v>23</v>
      </c>
      <c r="E437" s="10">
        <v>2.0499999999999998</v>
      </c>
      <c r="F437" s="10">
        <v>7.86</v>
      </c>
      <c r="G437" s="10">
        <v>6.37</v>
      </c>
      <c r="H437" s="10">
        <v>1.82</v>
      </c>
      <c r="I437" s="8">
        <f t="shared" si="22"/>
        <v>2.6015589600000002</v>
      </c>
      <c r="K437" s="8">
        <f t="shared" si="24"/>
        <v>12.829288285620837</v>
      </c>
      <c r="L437" s="8">
        <f t="shared" si="23"/>
        <v>6.4146441428104186</v>
      </c>
    </row>
    <row r="438" spans="1:12" x14ac:dyDescent="0.25">
      <c r="A438" s="1">
        <v>437</v>
      </c>
      <c r="B438" s="1">
        <v>329</v>
      </c>
      <c r="C438" s="3" t="s">
        <v>49</v>
      </c>
      <c r="D438" s="5" t="s">
        <v>23</v>
      </c>
      <c r="E438" s="10">
        <v>1.1200000000000001</v>
      </c>
      <c r="F438" s="10">
        <v>7.61</v>
      </c>
      <c r="G438" s="10">
        <f>F438-2</f>
        <v>5.61</v>
      </c>
      <c r="H438" s="10">
        <v>1.7</v>
      </c>
      <c r="I438" s="8">
        <f t="shared" si="22"/>
        <v>2.2698059999999995</v>
      </c>
      <c r="K438" s="8">
        <f t="shared" si="24"/>
        <v>9.8706490256025461</v>
      </c>
      <c r="L438" s="8">
        <f t="shared" si="23"/>
        <v>4.935324512801273</v>
      </c>
    </row>
    <row r="439" spans="1:12" x14ac:dyDescent="0.25">
      <c r="A439" s="1">
        <v>438</v>
      </c>
      <c r="B439" s="1">
        <v>330</v>
      </c>
      <c r="C439" s="3" t="s">
        <v>49</v>
      </c>
      <c r="D439" s="5" t="s">
        <v>23</v>
      </c>
      <c r="E439" s="10">
        <v>1.71</v>
      </c>
      <c r="F439" s="10">
        <v>6.82</v>
      </c>
      <c r="G439" s="10">
        <v>3.45</v>
      </c>
      <c r="H439" s="10">
        <v>2.08</v>
      </c>
      <c r="I439" s="8">
        <f t="shared" si="22"/>
        <v>3.3979545600000005</v>
      </c>
      <c r="K439" s="8">
        <f t="shared" si="24"/>
        <v>3.6195163961443777</v>
      </c>
      <c r="L439" s="8">
        <f t="shared" si="23"/>
        <v>1.8097581980721889</v>
      </c>
    </row>
    <row r="440" spans="1:12" x14ac:dyDescent="0.25">
      <c r="A440" s="1">
        <v>439</v>
      </c>
      <c r="B440" s="1">
        <v>331</v>
      </c>
      <c r="C440" s="3" t="s">
        <v>49</v>
      </c>
      <c r="D440" s="5" t="s">
        <v>23</v>
      </c>
      <c r="E440" s="10">
        <v>1.18</v>
      </c>
      <c r="F440" s="10">
        <v>10.06</v>
      </c>
      <c r="G440" s="10">
        <v>7.06</v>
      </c>
      <c r="H440" s="10">
        <v>2.0099999999999998</v>
      </c>
      <c r="I440" s="8">
        <f t="shared" si="22"/>
        <v>3.1730945399999992</v>
      </c>
      <c r="K440" s="8">
        <f t="shared" si="24"/>
        <v>15.862416399622118</v>
      </c>
      <c r="L440" s="8">
        <f t="shared" si="23"/>
        <v>7.9312081998110591</v>
      </c>
    </row>
    <row r="441" spans="1:12" x14ac:dyDescent="0.25">
      <c r="A441" s="1">
        <v>440</v>
      </c>
      <c r="B441" s="1">
        <v>332</v>
      </c>
      <c r="C441" s="3" t="s">
        <v>49</v>
      </c>
      <c r="D441" s="5" t="s">
        <v>23</v>
      </c>
      <c r="E441" s="10">
        <v>2.2999999999999998</v>
      </c>
      <c r="F441" s="10">
        <v>8.4700000000000006</v>
      </c>
      <c r="G441" s="10">
        <v>6.93</v>
      </c>
      <c r="H441" s="10">
        <v>1.98</v>
      </c>
      <c r="I441" s="8">
        <f t="shared" si="22"/>
        <v>3.07908216</v>
      </c>
      <c r="K441" s="8">
        <f t="shared" si="24"/>
        <v>15.265599884849191</v>
      </c>
      <c r="L441" s="8">
        <f t="shared" si="23"/>
        <v>7.6327999424245956</v>
      </c>
    </row>
    <row r="442" spans="1:12" x14ac:dyDescent="0.25">
      <c r="A442" s="1">
        <v>441</v>
      </c>
      <c r="B442" s="1">
        <v>333</v>
      </c>
      <c r="C442" s="3" t="s">
        <v>49</v>
      </c>
      <c r="D442" s="5" t="s">
        <v>23</v>
      </c>
      <c r="E442" s="10">
        <v>1.99</v>
      </c>
      <c r="F442" s="10">
        <v>5.57</v>
      </c>
      <c r="G442" s="10">
        <f>F442-2</f>
        <v>3.5700000000000003</v>
      </c>
      <c r="H442" s="10">
        <v>1.78</v>
      </c>
      <c r="I442" s="8">
        <f t="shared" si="22"/>
        <v>2.4884613600000001</v>
      </c>
      <c r="K442" s="8">
        <f t="shared" si="24"/>
        <v>3.8841116876459352</v>
      </c>
      <c r="L442" s="8">
        <f t="shared" si="23"/>
        <v>1.9420558438229676</v>
      </c>
    </row>
    <row r="443" spans="1:12" x14ac:dyDescent="0.25">
      <c r="A443" s="1">
        <v>442</v>
      </c>
      <c r="B443" s="1">
        <v>334</v>
      </c>
      <c r="C443" s="3" t="s">
        <v>49</v>
      </c>
      <c r="D443" s="5" t="s">
        <v>23</v>
      </c>
      <c r="E443" s="10">
        <v>1.24</v>
      </c>
      <c r="F443" s="10">
        <v>6.54</v>
      </c>
      <c r="G443" s="10">
        <f>F443-2</f>
        <v>4.54</v>
      </c>
      <c r="H443" s="10">
        <v>1.74</v>
      </c>
      <c r="I443" s="8">
        <f t="shared" si="22"/>
        <v>2.37787704</v>
      </c>
      <c r="K443" s="8">
        <f t="shared" si="24"/>
        <v>6.3781627668151755</v>
      </c>
      <c r="L443" s="8">
        <f t="shared" si="23"/>
        <v>3.1890813834075877</v>
      </c>
    </row>
    <row r="444" spans="1:12" x14ac:dyDescent="0.25">
      <c r="A444" s="1">
        <v>443</v>
      </c>
      <c r="B444" s="1">
        <v>335</v>
      </c>
      <c r="C444" s="3" t="s">
        <v>49</v>
      </c>
      <c r="D444" s="5" t="s">
        <v>23</v>
      </c>
      <c r="E444" s="10">
        <v>2.2400000000000002</v>
      </c>
      <c r="F444" s="10">
        <v>9.7799999999999994</v>
      </c>
      <c r="G444" s="10">
        <v>7.74</v>
      </c>
      <c r="H444" s="10">
        <v>1.78</v>
      </c>
      <c r="I444" s="8">
        <f t="shared" si="22"/>
        <v>2.4884613600000001</v>
      </c>
      <c r="K444" s="8">
        <f t="shared" si="24"/>
        <v>19.176874141856853</v>
      </c>
      <c r="L444" s="8">
        <f t="shared" si="23"/>
        <v>9.5884370709284266</v>
      </c>
    </row>
    <row r="445" spans="1:12" x14ac:dyDescent="0.25">
      <c r="A445" s="1">
        <v>444</v>
      </c>
      <c r="B445" s="1">
        <v>336</v>
      </c>
      <c r="C445" s="3" t="s">
        <v>49</v>
      </c>
      <c r="D445" s="5" t="s">
        <v>23</v>
      </c>
      <c r="E445" s="10">
        <v>1.18</v>
      </c>
      <c r="F445" s="10">
        <v>5.53</v>
      </c>
      <c r="G445" s="10">
        <f>F445-2</f>
        <v>3.5300000000000002</v>
      </c>
      <c r="H445" s="10">
        <v>1.79</v>
      </c>
      <c r="I445" s="8">
        <f t="shared" si="22"/>
        <v>2.5165001399999998</v>
      </c>
      <c r="K445" s="8">
        <f t="shared" si="24"/>
        <v>3.7948441986314729</v>
      </c>
      <c r="L445" s="8">
        <f t="shared" si="23"/>
        <v>1.8974220993157365</v>
      </c>
    </row>
    <row r="446" spans="1:12" x14ac:dyDescent="0.25">
      <c r="A446" s="1">
        <v>445</v>
      </c>
      <c r="B446" s="1">
        <v>337</v>
      </c>
      <c r="C446" s="3" t="s">
        <v>49</v>
      </c>
      <c r="D446" s="5" t="s">
        <v>23</v>
      </c>
      <c r="E446" s="10">
        <v>1.38</v>
      </c>
      <c r="F446" s="10">
        <v>10.96</v>
      </c>
      <c r="G446" s="10">
        <v>4.8899999999999997</v>
      </c>
      <c r="H446" s="10">
        <v>1.78</v>
      </c>
      <c r="I446" s="8">
        <f t="shared" si="22"/>
        <v>2.4884613600000001</v>
      </c>
      <c r="K446" s="8">
        <f t="shared" si="24"/>
        <v>7.4344642328565644</v>
      </c>
      <c r="L446" s="8">
        <f t="shared" si="23"/>
        <v>3.7172321164282822</v>
      </c>
    </row>
    <row r="447" spans="1:12" x14ac:dyDescent="0.25">
      <c r="A447" s="1">
        <v>446</v>
      </c>
      <c r="B447" s="1">
        <v>338</v>
      </c>
      <c r="C447" s="3" t="s">
        <v>49</v>
      </c>
      <c r="D447" s="5" t="s">
        <v>23</v>
      </c>
      <c r="E447" s="10">
        <v>1.38</v>
      </c>
      <c r="F447" s="10">
        <v>8.4700000000000006</v>
      </c>
      <c r="G447" s="10">
        <f>F447-2</f>
        <v>6.4700000000000006</v>
      </c>
      <c r="H447" s="10">
        <v>1.68</v>
      </c>
      <c r="I447" s="8">
        <f t="shared" si="22"/>
        <v>2.2167129599999997</v>
      </c>
      <c r="K447" s="8">
        <f t="shared" si="24"/>
        <v>13.248351092597819</v>
      </c>
      <c r="L447" s="8">
        <f t="shared" si="23"/>
        <v>6.6241755462989094</v>
      </c>
    </row>
    <row r="448" spans="1:12" x14ac:dyDescent="0.25">
      <c r="A448" s="1">
        <v>447</v>
      </c>
      <c r="B448" s="1">
        <v>339</v>
      </c>
      <c r="C448" s="3" t="s">
        <v>49</v>
      </c>
      <c r="D448" s="5" t="s">
        <v>23</v>
      </c>
      <c r="E448" s="10">
        <v>2.36</v>
      </c>
      <c r="F448" s="10">
        <v>8.36</v>
      </c>
      <c r="G448" s="10">
        <v>6.49</v>
      </c>
      <c r="H448" s="10">
        <v>1.99</v>
      </c>
      <c r="I448" s="8">
        <f t="shared" si="22"/>
        <v>3.1102625399999999</v>
      </c>
      <c r="K448" s="8">
        <f t="shared" si="24"/>
        <v>13.33299687913826</v>
      </c>
      <c r="L448" s="8">
        <f t="shared" si="23"/>
        <v>6.6664984395691302</v>
      </c>
    </row>
    <row r="449" spans="1:12" x14ac:dyDescent="0.25">
      <c r="A449" s="1">
        <v>448</v>
      </c>
      <c r="B449" s="1">
        <v>340</v>
      </c>
      <c r="C449" s="3" t="s">
        <v>49</v>
      </c>
      <c r="D449" s="5" t="s">
        <v>23</v>
      </c>
      <c r="E449" s="10">
        <v>2.06</v>
      </c>
      <c r="F449" s="10">
        <v>9.15</v>
      </c>
      <c r="G449" s="10">
        <v>3.54</v>
      </c>
      <c r="H449" s="10">
        <v>1.92</v>
      </c>
      <c r="I449" s="8">
        <f t="shared" si="22"/>
        <v>2.8952985600000001</v>
      </c>
      <c r="K449" s="8">
        <f t="shared" si="24"/>
        <v>3.8170607924398769</v>
      </c>
      <c r="L449" s="8">
        <f t="shared" si="23"/>
        <v>1.9085303962199385</v>
      </c>
    </row>
    <row r="450" spans="1:12" x14ac:dyDescent="0.25">
      <c r="A450" s="1">
        <v>449</v>
      </c>
      <c r="B450" s="1">
        <v>341</v>
      </c>
      <c r="C450" s="3" t="s">
        <v>49</v>
      </c>
      <c r="D450" s="5" t="s">
        <v>23</v>
      </c>
      <c r="E450" s="10">
        <v>1.45</v>
      </c>
      <c r="F450" s="10">
        <v>10.77</v>
      </c>
      <c r="G450" s="10">
        <v>3.41</v>
      </c>
      <c r="H450" s="10">
        <v>2.0699999999999998</v>
      </c>
      <c r="I450" s="8">
        <f t="shared" si="22"/>
        <v>3.3653604599999993</v>
      </c>
      <c r="K450" s="8">
        <f t="shared" si="24"/>
        <v>3.5334545272206386</v>
      </c>
      <c r="L450" s="8">
        <f t="shared" si="23"/>
        <v>1.7667272636103193</v>
      </c>
    </row>
    <row r="451" spans="1:12" x14ac:dyDescent="0.25">
      <c r="A451" s="1">
        <v>450</v>
      </c>
      <c r="B451" s="1">
        <v>342</v>
      </c>
      <c r="C451" s="3" t="s">
        <v>49</v>
      </c>
      <c r="D451" s="5" t="s">
        <v>23</v>
      </c>
      <c r="E451" s="10">
        <v>1.96</v>
      </c>
      <c r="F451" s="10">
        <v>7.43</v>
      </c>
      <c r="G451" s="10">
        <v>5.34</v>
      </c>
      <c r="H451" s="10">
        <v>2.0299999999999998</v>
      </c>
      <c r="I451" s="8">
        <f t="shared" ref="I451:I514" si="25">0.7854*H451^2</f>
        <v>3.2365548599999991</v>
      </c>
      <c r="K451" s="8">
        <f t="shared" si="24"/>
        <v>8.9154286659997446</v>
      </c>
      <c r="L451" s="8">
        <f t="shared" ref="L451:L514" si="26">K451*0.5</f>
        <v>4.4577143329998723</v>
      </c>
    </row>
    <row r="452" spans="1:12" x14ac:dyDescent="0.25">
      <c r="A452" s="1">
        <v>451</v>
      </c>
      <c r="B452" s="1">
        <v>343</v>
      </c>
      <c r="C452" s="3" t="s">
        <v>49</v>
      </c>
      <c r="D452" s="5" t="s">
        <v>23</v>
      </c>
      <c r="E452" s="10">
        <v>2.33</v>
      </c>
      <c r="F452" s="10">
        <v>9.75</v>
      </c>
      <c r="G452" s="10">
        <v>8.49</v>
      </c>
      <c r="H452" s="10">
        <v>1.71</v>
      </c>
      <c r="I452" s="8">
        <f t="shared" si="25"/>
        <v>2.2965881399999999</v>
      </c>
      <c r="K452" s="8">
        <f t="shared" si="24"/>
        <v>23.209290499968755</v>
      </c>
      <c r="L452" s="8">
        <f t="shared" si="26"/>
        <v>11.604645249984378</v>
      </c>
    </row>
    <row r="453" spans="1:12" x14ac:dyDescent="0.25">
      <c r="A453" s="1">
        <v>452</v>
      </c>
      <c r="B453" s="1">
        <v>344</v>
      </c>
      <c r="C453" s="3" t="s">
        <v>49</v>
      </c>
      <c r="D453" s="5" t="s">
        <v>23</v>
      </c>
      <c r="E453" s="10">
        <v>1.8</v>
      </c>
      <c r="F453" s="10">
        <v>8.9600000000000009</v>
      </c>
      <c r="G453" s="10">
        <v>7.95</v>
      </c>
      <c r="H453" s="10">
        <v>1.8</v>
      </c>
      <c r="I453" s="8">
        <f t="shared" si="25"/>
        <v>2.5446960000000001</v>
      </c>
      <c r="K453" s="8">
        <f t="shared" si="24"/>
        <v>20.266017605223933</v>
      </c>
      <c r="L453" s="8">
        <f t="shared" si="26"/>
        <v>10.133008802611966</v>
      </c>
    </row>
    <row r="454" spans="1:12" x14ac:dyDescent="0.25">
      <c r="A454" s="1">
        <v>453</v>
      </c>
      <c r="B454" s="1">
        <v>345</v>
      </c>
      <c r="C454" s="3" t="s">
        <v>49</v>
      </c>
      <c r="D454" s="5" t="s">
        <v>23</v>
      </c>
      <c r="E454" s="10">
        <v>2.2999999999999998</v>
      </c>
      <c r="F454" s="10">
        <v>6.87</v>
      </c>
      <c r="G454" s="10">
        <f>F454-2</f>
        <v>4.87</v>
      </c>
      <c r="H454" s="10">
        <v>1.72</v>
      </c>
      <c r="I454" s="8">
        <f t="shared" si="25"/>
        <v>2.3235273599999999</v>
      </c>
      <c r="K454" s="8">
        <f t="shared" si="24"/>
        <v>7.3718562349967494</v>
      </c>
      <c r="L454" s="8">
        <f t="shared" si="26"/>
        <v>3.6859281174983747</v>
      </c>
    </row>
    <row r="455" spans="1:12" x14ac:dyDescent="0.25">
      <c r="A455" s="1">
        <v>454</v>
      </c>
      <c r="B455" s="1">
        <v>346</v>
      </c>
      <c r="C455" s="3" t="s">
        <v>49</v>
      </c>
      <c r="D455" s="5" t="s">
        <v>23</v>
      </c>
      <c r="E455" s="10">
        <v>1.1499999999999999</v>
      </c>
      <c r="F455" s="10">
        <v>11.15</v>
      </c>
      <c r="G455" s="10">
        <v>6.62</v>
      </c>
      <c r="H455" s="10">
        <v>1.95</v>
      </c>
      <c r="I455" s="8">
        <f t="shared" si="25"/>
        <v>2.9864834999999998</v>
      </c>
      <c r="K455" s="8">
        <f t="shared" si="24"/>
        <v>13.88996997059817</v>
      </c>
      <c r="L455" s="8">
        <f t="shared" si="26"/>
        <v>6.9449849852990848</v>
      </c>
    </row>
    <row r="456" spans="1:12" x14ac:dyDescent="0.25">
      <c r="A456" s="1">
        <v>455</v>
      </c>
      <c r="B456" s="1">
        <v>347</v>
      </c>
      <c r="C456" s="3" t="s">
        <v>49</v>
      </c>
      <c r="D456" s="5" t="s">
        <v>23</v>
      </c>
      <c r="E456" s="10">
        <v>2.06</v>
      </c>
      <c r="F456" s="10">
        <v>10.58</v>
      </c>
      <c r="G456" s="10">
        <v>6.08</v>
      </c>
      <c r="H456" s="10">
        <v>1.95</v>
      </c>
      <c r="I456" s="8">
        <f t="shared" si="25"/>
        <v>2.9864834999999998</v>
      </c>
      <c r="K456" s="8">
        <f t="shared" si="24"/>
        <v>11.653218280097111</v>
      </c>
      <c r="L456" s="8">
        <f t="shared" si="26"/>
        <v>5.8266091400485553</v>
      </c>
    </row>
    <row r="457" spans="1:12" x14ac:dyDescent="0.25">
      <c r="A457" s="1">
        <v>456</v>
      </c>
      <c r="B457" s="1">
        <v>348</v>
      </c>
      <c r="C457" s="3" t="s">
        <v>49</v>
      </c>
      <c r="D457" s="5" t="s">
        <v>23</v>
      </c>
      <c r="E457" s="10">
        <v>2.2599999999999998</v>
      </c>
      <c r="F457" s="10">
        <v>9.61</v>
      </c>
      <c r="G457" s="10">
        <v>4.03</v>
      </c>
      <c r="H457" s="10">
        <v>1.73</v>
      </c>
      <c r="I457" s="8">
        <f t="shared" si="25"/>
        <v>2.3506236600000001</v>
      </c>
      <c r="K457" s="8">
        <f t="shared" si="24"/>
        <v>4.987785959053233</v>
      </c>
      <c r="L457" s="8">
        <f t="shared" si="26"/>
        <v>2.4938929795266165</v>
      </c>
    </row>
    <row r="458" spans="1:12" x14ac:dyDescent="0.25">
      <c r="A458" s="1">
        <v>457</v>
      </c>
      <c r="B458" s="1">
        <v>349</v>
      </c>
      <c r="C458" s="3" t="s">
        <v>49</v>
      </c>
      <c r="D458" s="5" t="s">
        <v>23</v>
      </c>
      <c r="E458" s="10">
        <v>2.1</v>
      </c>
      <c r="F458" s="10">
        <v>10.95</v>
      </c>
      <c r="G458" s="10">
        <v>5.3</v>
      </c>
      <c r="H458" s="10">
        <v>1.72</v>
      </c>
      <c r="I458" s="8">
        <f t="shared" si="25"/>
        <v>2.3235273599999999</v>
      </c>
      <c r="K458" s="8">
        <f t="shared" si="24"/>
        <v>8.7781723303859813</v>
      </c>
      <c r="L458" s="8">
        <f t="shared" si="26"/>
        <v>4.3890861651929907</v>
      </c>
    </row>
    <row r="459" spans="1:12" x14ac:dyDescent="0.25">
      <c r="A459" s="1">
        <v>458</v>
      </c>
      <c r="B459" s="1">
        <v>350</v>
      </c>
      <c r="C459" s="3" t="s">
        <v>49</v>
      </c>
      <c r="D459" s="5" t="s">
        <v>23</v>
      </c>
      <c r="E459" s="10">
        <v>2.13</v>
      </c>
      <c r="F459" s="10">
        <v>11.07</v>
      </c>
      <c r="G459" s="10">
        <v>6.04</v>
      </c>
      <c r="H459" s="10">
        <v>2.02</v>
      </c>
      <c r="I459" s="8">
        <f t="shared" si="25"/>
        <v>3.20474616</v>
      </c>
      <c r="K459" s="8">
        <f t="shared" si="24"/>
        <v>11.49557153833489</v>
      </c>
      <c r="L459" s="8">
        <f t="shared" si="26"/>
        <v>5.7477857691674448</v>
      </c>
    </row>
    <row r="460" spans="1:12" x14ac:dyDescent="0.25">
      <c r="A460" s="1">
        <v>459</v>
      </c>
      <c r="B460" s="1">
        <v>351</v>
      </c>
      <c r="C460" s="3" t="s">
        <v>49</v>
      </c>
      <c r="D460" s="5" t="s">
        <v>23</v>
      </c>
      <c r="E460" s="10">
        <v>1.9</v>
      </c>
      <c r="F460" s="10">
        <v>9.9600000000000009</v>
      </c>
      <c r="G460" s="10">
        <v>3.62</v>
      </c>
      <c r="H460" s="10">
        <v>2</v>
      </c>
      <c r="I460" s="8">
        <f t="shared" si="25"/>
        <v>3.1415999999999999</v>
      </c>
      <c r="K460" s="8">
        <f t="shared" si="24"/>
        <v>3.997200940305051</v>
      </c>
      <c r="L460" s="8">
        <f t="shared" si="26"/>
        <v>1.9986004701525255</v>
      </c>
    </row>
    <row r="461" spans="1:12" x14ac:dyDescent="0.25">
      <c r="A461" s="1">
        <v>460</v>
      </c>
      <c r="B461" s="1">
        <v>352</v>
      </c>
      <c r="C461" s="3" t="s">
        <v>49</v>
      </c>
      <c r="D461" s="5" t="s">
        <v>23</v>
      </c>
      <c r="E461" s="10">
        <v>1.66</v>
      </c>
      <c r="F461" s="10">
        <v>10.86</v>
      </c>
      <c r="G461" s="10">
        <v>4.54</v>
      </c>
      <c r="H461" s="10">
        <v>2.02</v>
      </c>
      <c r="I461" s="8">
        <f t="shared" si="25"/>
        <v>3.20474616</v>
      </c>
      <c r="K461" s="8">
        <f t="shared" si="24"/>
        <v>6.3781627668151755</v>
      </c>
      <c r="L461" s="8">
        <f t="shared" si="26"/>
        <v>3.1890813834075877</v>
      </c>
    </row>
    <row r="462" spans="1:12" x14ac:dyDescent="0.25">
      <c r="A462" s="1">
        <v>461</v>
      </c>
      <c r="B462" s="1">
        <v>353</v>
      </c>
      <c r="C462" s="3" t="s">
        <v>49</v>
      </c>
      <c r="D462" s="5" t="s">
        <v>23</v>
      </c>
      <c r="E462" s="10">
        <v>1.77</v>
      </c>
      <c r="F462" s="10">
        <v>9.8800000000000008</v>
      </c>
      <c r="G462" s="10">
        <v>7.19</v>
      </c>
      <c r="H462" s="10">
        <v>1.77</v>
      </c>
      <c r="I462" s="8">
        <f t="shared" si="25"/>
        <v>2.4605796600000001</v>
      </c>
      <c r="K462" s="8">
        <f t="shared" si="24"/>
        <v>16.471035791534462</v>
      </c>
      <c r="L462" s="8">
        <f t="shared" si="26"/>
        <v>8.2355178957672308</v>
      </c>
    </row>
    <row r="463" spans="1:12" x14ac:dyDescent="0.25">
      <c r="A463" s="1">
        <v>462</v>
      </c>
      <c r="B463" s="1">
        <v>354</v>
      </c>
      <c r="C463" s="3" t="s">
        <v>49</v>
      </c>
      <c r="D463" s="5" t="s">
        <v>23</v>
      </c>
      <c r="E463" s="10">
        <v>2.23</v>
      </c>
      <c r="F463" s="10">
        <v>9.76</v>
      </c>
      <c r="G463" s="10">
        <v>8.15</v>
      </c>
      <c r="H463" s="10">
        <v>1.9</v>
      </c>
      <c r="I463" s="8">
        <f t="shared" si="25"/>
        <v>2.8352939999999998</v>
      </c>
      <c r="K463" s="8">
        <f t="shared" si="24"/>
        <v>21.332147171641427</v>
      </c>
      <c r="L463" s="8">
        <f t="shared" si="26"/>
        <v>10.666073585820714</v>
      </c>
    </row>
    <row r="464" spans="1:12" x14ac:dyDescent="0.25">
      <c r="A464" s="1">
        <v>463</v>
      </c>
      <c r="B464" s="1">
        <v>355</v>
      </c>
      <c r="C464" s="3" t="s">
        <v>49</v>
      </c>
      <c r="D464" s="5" t="s">
        <v>23</v>
      </c>
      <c r="E464" s="10">
        <v>2.02</v>
      </c>
      <c r="F464" s="10">
        <v>9.33</v>
      </c>
      <c r="G464" s="10">
        <f>F464-2</f>
        <v>7.33</v>
      </c>
      <c r="H464" s="10">
        <v>2.0699999999999998</v>
      </c>
      <c r="I464" s="8">
        <f t="shared" si="25"/>
        <v>3.3653604599999993</v>
      </c>
      <c r="K464" s="8">
        <f t="shared" si="24"/>
        <v>17.139687417540451</v>
      </c>
      <c r="L464" s="8">
        <f t="shared" si="26"/>
        <v>8.5698437087702253</v>
      </c>
    </row>
    <row r="465" spans="1:12" x14ac:dyDescent="0.25">
      <c r="A465" s="1">
        <v>464</v>
      </c>
      <c r="B465" s="1">
        <v>356</v>
      </c>
      <c r="C465" s="3" t="s">
        <v>49</v>
      </c>
      <c r="D465" s="5" t="s">
        <v>23</v>
      </c>
      <c r="E465" s="10">
        <v>1.54</v>
      </c>
      <c r="F465" s="10">
        <v>10.27</v>
      </c>
      <c r="G465" s="10">
        <v>9.5299999999999994</v>
      </c>
      <c r="H465" s="10">
        <v>1.87</v>
      </c>
      <c r="I465" s="8">
        <f t="shared" si="25"/>
        <v>2.7464652600000004</v>
      </c>
      <c r="K465" s="8">
        <f t="shared" si="24"/>
        <v>29.459070928734818</v>
      </c>
      <c r="L465" s="8">
        <f t="shared" si="26"/>
        <v>14.729535464367409</v>
      </c>
    </row>
    <row r="466" spans="1:12" x14ac:dyDescent="0.25">
      <c r="A466" s="1">
        <v>465</v>
      </c>
      <c r="B466" s="1">
        <v>357</v>
      </c>
      <c r="C466" s="3" t="s">
        <v>49</v>
      </c>
      <c r="D466" s="5" t="s">
        <v>23</v>
      </c>
      <c r="E466" s="10">
        <v>1.1499999999999999</v>
      </c>
      <c r="F466" s="10">
        <v>6.11</v>
      </c>
      <c r="G466" s="10">
        <f>F466-2</f>
        <v>4.1100000000000003</v>
      </c>
      <c r="H466" s="10">
        <v>1.82</v>
      </c>
      <c r="I466" s="8">
        <f t="shared" si="25"/>
        <v>2.6015589600000002</v>
      </c>
      <c r="K466" s="8">
        <f t="shared" si="24"/>
        <v>5.194257135419595</v>
      </c>
      <c r="L466" s="8">
        <f t="shared" si="26"/>
        <v>2.5971285677097975</v>
      </c>
    </row>
    <row r="467" spans="1:12" x14ac:dyDescent="0.25">
      <c r="A467" s="1">
        <v>466</v>
      </c>
      <c r="B467" s="1">
        <v>358</v>
      </c>
      <c r="C467" s="3" t="s">
        <v>49</v>
      </c>
      <c r="D467" s="5" t="s">
        <v>23</v>
      </c>
      <c r="E467" s="10">
        <v>1.32</v>
      </c>
      <c r="F467" s="10">
        <v>11.17</v>
      </c>
      <c r="G467" s="10">
        <v>5.95</v>
      </c>
      <c r="H467" s="10">
        <v>1.67</v>
      </c>
      <c r="I467" s="8">
        <f t="shared" si="25"/>
        <v>2.1904020599999998</v>
      </c>
      <c r="K467" s="8">
        <f t="shared" si="24"/>
        <v>11.144910992479065</v>
      </c>
      <c r="L467" s="8">
        <f t="shared" si="26"/>
        <v>5.5724554962395327</v>
      </c>
    </row>
    <row r="468" spans="1:12" x14ac:dyDescent="0.25">
      <c r="A468" s="1">
        <v>467</v>
      </c>
      <c r="B468" s="1">
        <v>359</v>
      </c>
      <c r="C468" s="3" t="s">
        <v>49</v>
      </c>
      <c r="D468" s="5" t="s">
        <v>23</v>
      </c>
      <c r="E468" s="10">
        <v>1.65</v>
      </c>
      <c r="F468" s="10">
        <v>11.1</v>
      </c>
      <c r="G468" s="10">
        <v>7.45</v>
      </c>
      <c r="H468" s="10">
        <v>1.83</v>
      </c>
      <c r="I468" s="8">
        <f t="shared" si="25"/>
        <v>2.6302260600000005</v>
      </c>
      <c r="K468" s="8">
        <f t="shared" si="24"/>
        <v>17.723737712137488</v>
      </c>
      <c r="L468" s="8">
        <f t="shared" si="26"/>
        <v>8.8618688560687442</v>
      </c>
    </row>
    <row r="469" spans="1:12" x14ac:dyDescent="0.25">
      <c r="A469" s="1">
        <v>468</v>
      </c>
      <c r="B469" s="1">
        <v>360</v>
      </c>
      <c r="C469" s="3" t="s">
        <v>49</v>
      </c>
      <c r="D469" s="5" t="s">
        <v>23</v>
      </c>
      <c r="E469" s="10">
        <v>1.43</v>
      </c>
      <c r="F469" s="10">
        <v>5.2</v>
      </c>
      <c r="G469" s="10">
        <f>F469-2</f>
        <v>3.2</v>
      </c>
      <c r="H469" s="10">
        <v>2.09</v>
      </c>
      <c r="I469" s="8">
        <f t="shared" si="25"/>
        <v>3.4307057399999992</v>
      </c>
      <c r="K469" s="8">
        <f t="shared" si="24"/>
        <v>3.0991159548452765</v>
      </c>
      <c r="L469" s="8">
        <f t="shared" si="26"/>
        <v>1.5495579774226382</v>
      </c>
    </row>
    <row r="470" spans="1:12" x14ac:dyDescent="0.25">
      <c r="A470" s="1">
        <v>469</v>
      </c>
      <c r="B470" s="1">
        <v>361</v>
      </c>
      <c r="C470" s="3" t="s">
        <v>49</v>
      </c>
      <c r="D470" s="5" t="s">
        <v>23</v>
      </c>
      <c r="E470" s="10">
        <v>2.38</v>
      </c>
      <c r="F470" s="10">
        <v>10.78</v>
      </c>
      <c r="G470" s="10">
        <v>3.83</v>
      </c>
      <c r="H470" s="10">
        <v>1.76</v>
      </c>
      <c r="I470" s="8">
        <f t="shared" si="25"/>
        <v>2.4328550399999997</v>
      </c>
      <c r="K470" s="8">
        <f t="shared" si="24"/>
        <v>4.4904670676438938</v>
      </c>
      <c r="L470" s="8">
        <f t="shared" si="26"/>
        <v>2.2452335338219469</v>
      </c>
    </row>
    <row r="471" spans="1:12" x14ac:dyDescent="0.25">
      <c r="A471" s="1">
        <v>470</v>
      </c>
      <c r="B471" s="1">
        <v>362</v>
      </c>
      <c r="C471" s="3" t="s">
        <v>49</v>
      </c>
      <c r="D471" s="5" t="s">
        <v>23</v>
      </c>
      <c r="E471" s="10">
        <v>2.2599999999999998</v>
      </c>
      <c r="F471" s="10">
        <v>5.9</v>
      </c>
      <c r="G471" s="10">
        <f>F471-2</f>
        <v>3.9000000000000004</v>
      </c>
      <c r="H471" s="10">
        <v>1.85</v>
      </c>
      <c r="I471" s="8">
        <f t="shared" si="25"/>
        <v>2.6880315000000001</v>
      </c>
      <c r="K471" s="8">
        <f t="shared" si="24"/>
        <v>4.6614675167816282</v>
      </c>
      <c r="L471" s="8">
        <f t="shared" si="26"/>
        <v>2.3307337583908141</v>
      </c>
    </row>
    <row r="472" spans="1:12" x14ac:dyDescent="0.25">
      <c r="A472" s="1">
        <v>471</v>
      </c>
      <c r="B472" s="1">
        <v>363</v>
      </c>
      <c r="C472" s="3" t="s">
        <v>49</v>
      </c>
      <c r="D472" s="5" t="s">
        <v>23</v>
      </c>
      <c r="E472" s="10">
        <v>1.9</v>
      </c>
      <c r="F472" s="10">
        <v>7.35</v>
      </c>
      <c r="G472" s="10">
        <f>F472-2</f>
        <v>5.35</v>
      </c>
      <c r="H472" s="10">
        <v>1.82</v>
      </c>
      <c r="I472" s="8">
        <f t="shared" si="25"/>
        <v>2.6015589600000002</v>
      </c>
      <c r="K472" s="8">
        <f t="shared" si="24"/>
        <v>8.9499142601004511</v>
      </c>
      <c r="L472" s="8">
        <f t="shared" si="26"/>
        <v>4.4749571300502256</v>
      </c>
    </row>
    <row r="473" spans="1:12" x14ac:dyDescent="0.25">
      <c r="A473" s="1">
        <v>472</v>
      </c>
      <c r="B473" s="1">
        <v>364</v>
      </c>
      <c r="C473" s="3" t="s">
        <v>49</v>
      </c>
      <c r="D473" s="5" t="s">
        <v>23</v>
      </c>
      <c r="E473" s="10">
        <v>2.02</v>
      </c>
      <c r="F473" s="10">
        <v>10.199999999999999</v>
      </c>
      <c r="G473" s="10">
        <v>5.69</v>
      </c>
      <c r="H473" s="10">
        <v>1.76</v>
      </c>
      <c r="I473" s="8">
        <f t="shared" si="25"/>
        <v>2.4328550399999997</v>
      </c>
      <c r="K473" s="8">
        <f t="shared" si="24"/>
        <v>10.163306132545083</v>
      </c>
      <c r="L473" s="8">
        <f t="shared" si="26"/>
        <v>5.0816530662725414</v>
      </c>
    </row>
    <row r="474" spans="1:12" x14ac:dyDescent="0.25">
      <c r="A474" s="1">
        <v>473</v>
      </c>
      <c r="B474" s="1">
        <v>365</v>
      </c>
      <c r="C474" s="3" t="s">
        <v>49</v>
      </c>
      <c r="D474" s="5" t="s">
        <v>23</v>
      </c>
      <c r="E474" s="10">
        <v>1.82</v>
      </c>
      <c r="F474" s="10">
        <v>6.13</v>
      </c>
      <c r="G474" s="10">
        <f>F474-2</f>
        <v>4.13</v>
      </c>
      <c r="H474" s="10">
        <v>1.97</v>
      </c>
      <c r="I474" s="8">
        <f t="shared" si="25"/>
        <v>3.0480588599999998</v>
      </c>
      <c r="K474" s="8">
        <f t="shared" si="24"/>
        <v>5.246549530358406</v>
      </c>
      <c r="L474" s="8">
        <f t="shared" si="26"/>
        <v>2.623274765179203</v>
      </c>
    </row>
    <row r="475" spans="1:12" x14ac:dyDescent="0.25">
      <c r="A475" s="1">
        <v>474</v>
      </c>
      <c r="B475" s="1">
        <v>366</v>
      </c>
      <c r="C475" s="3" t="s">
        <v>49</v>
      </c>
      <c r="D475" s="5" t="s">
        <v>23</v>
      </c>
      <c r="E475" s="10">
        <v>2.25</v>
      </c>
      <c r="F475" s="10">
        <v>10.73</v>
      </c>
      <c r="G475" s="10">
        <v>7.11</v>
      </c>
      <c r="H475" s="10">
        <v>2.0299999999999998</v>
      </c>
      <c r="I475" s="8">
        <f t="shared" si="25"/>
        <v>3.2365548599999991</v>
      </c>
      <c r="K475" s="8">
        <f t="shared" si="24"/>
        <v>16.095103238363073</v>
      </c>
      <c r="L475" s="8">
        <f t="shared" si="26"/>
        <v>8.0475516191815366</v>
      </c>
    </row>
    <row r="476" spans="1:12" x14ac:dyDescent="0.25">
      <c r="A476" s="1">
        <v>475</v>
      </c>
      <c r="B476" s="1">
        <v>367</v>
      </c>
      <c r="C476" s="3" t="s">
        <v>49</v>
      </c>
      <c r="D476" s="5" t="s">
        <v>23</v>
      </c>
      <c r="E476" s="10">
        <v>1.98</v>
      </c>
      <c r="F476" s="10">
        <v>10.82</v>
      </c>
      <c r="G476" s="10">
        <v>4.29</v>
      </c>
      <c r="H476" s="10">
        <v>1.73</v>
      </c>
      <c r="I476" s="8">
        <f t="shared" si="25"/>
        <v>2.3506236600000001</v>
      </c>
      <c r="K476" s="8">
        <f t="shared" si="24"/>
        <v>5.674615866487918</v>
      </c>
      <c r="L476" s="8">
        <f t="shared" si="26"/>
        <v>2.837307933243959</v>
      </c>
    </row>
    <row r="477" spans="1:12" x14ac:dyDescent="0.25">
      <c r="A477" s="1">
        <v>476</v>
      </c>
      <c r="B477" s="1">
        <v>368</v>
      </c>
      <c r="C477" s="3" t="s">
        <v>49</v>
      </c>
      <c r="D477" s="5" t="s">
        <v>23</v>
      </c>
      <c r="E477" s="10">
        <v>2.1</v>
      </c>
      <c r="F477" s="10">
        <v>8.5500000000000007</v>
      </c>
      <c r="G477" s="10">
        <v>5.54</v>
      </c>
      <c r="H477" s="10">
        <v>1.83</v>
      </c>
      <c r="I477" s="8">
        <f t="shared" si="25"/>
        <v>2.6302260600000005</v>
      </c>
      <c r="K477" s="8">
        <f t="shared" si="24"/>
        <v>9.6181876335393817</v>
      </c>
      <c r="L477" s="8">
        <f t="shared" si="26"/>
        <v>4.8090938167696908</v>
      </c>
    </row>
    <row r="478" spans="1:12" x14ac:dyDescent="0.25">
      <c r="A478" s="1">
        <v>477</v>
      </c>
      <c r="B478" s="1">
        <v>369</v>
      </c>
      <c r="C478" s="3" t="s">
        <v>49</v>
      </c>
      <c r="D478" s="5" t="s">
        <v>23</v>
      </c>
      <c r="E478" s="10">
        <v>1.97</v>
      </c>
      <c r="F478" s="10">
        <v>5.04</v>
      </c>
      <c r="G478" s="10">
        <f>F478-2</f>
        <v>3.04</v>
      </c>
      <c r="H478" s="10">
        <v>1.88</v>
      </c>
      <c r="I478" s="8">
        <f t="shared" si="25"/>
        <v>2.7759177599999996</v>
      </c>
      <c r="K478" s="8">
        <f t="shared" si="24"/>
        <v>2.7878569488735776</v>
      </c>
      <c r="L478" s="8">
        <f t="shared" si="26"/>
        <v>1.3939284744367888</v>
      </c>
    </row>
    <row r="479" spans="1:12" x14ac:dyDescent="0.25">
      <c r="A479" s="1">
        <v>478</v>
      </c>
      <c r="B479" s="1">
        <v>370</v>
      </c>
      <c r="C479" s="3" t="s">
        <v>49</v>
      </c>
      <c r="D479" s="5" t="s">
        <v>23</v>
      </c>
      <c r="E479" s="10">
        <v>1.73</v>
      </c>
      <c r="F479" s="10">
        <v>7.01</v>
      </c>
      <c r="G479" s="10">
        <v>3.18</v>
      </c>
      <c r="H479" s="10">
        <v>1.89</v>
      </c>
      <c r="I479" s="8">
        <f t="shared" si="25"/>
        <v>2.8055273399999998</v>
      </c>
      <c r="K479" s="8">
        <f t="shared" si="24"/>
        <v>3.0592798603444189</v>
      </c>
      <c r="L479" s="8">
        <f t="shared" si="26"/>
        <v>1.5296399301722094</v>
      </c>
    </row>
    <row r="480" spans="1:12" x14ac:dyDescent="0.25">
      <c r="A480" s="1">
        <v>479</v>
      </c>
      <c r="B480" s="1">
        <v>371</v>
      </c>
      <c r="C480" s="3" t="s">
        <v>49</v>
      </c>
      <c r="D480" s="5" t="s">
        <v>23</v>
      </c>
      <c r="E480" s="10">
        <v>1.61</v>
      </c>
      <c r="F480" s="10">
        <v>9.32</v>
      </c>
      <c r="G480" s="10">
        <v>3.17</v>
      </c>
      <c r="H480" s="10">
        <v>1.8</v>
      </c>
      <c r="I480" s="8">
        <f t="shared" si="25"/>
        <v>2.5446960000000001</v>
      </c>
      <c r="K480" s="8">
        <f t="shared" si="24"/>
        <v>3.0394614056863367</v>
      </c>
      <c r="L480" s="8">
        <f t="shared" si="26"/>
        <v>1.5197307028431684</v>
      </c>
    </row>
    <row r="481" spans="1:12" x14ac:dyDescent="0.25">
      <c r="A481" s="1">
        <v>480</v>
      </c>
      <c r="B481" s="1">
        <v>372</v>
      </c>
      <c r="C481" s="3" t="s">
        <v>49</v>
      </c>
      <c r="D481" s="5" t="s">
        <v>23</v>
      </c>
      <c r="E481" s="10">
        <v>1.77</v>
      </c>
      <c r="F481" s="10">
        <v>11.87</v>
      </c>
      <c r="G481" s="10">
        <v>8.82</v>
      </c>
      <c r="H481" s="10">
        <v>1.75</v>
      </c>
      <c r="I481" s="8">
        <f t="shared" si="25"/>
        <v>2.4052875</v>
      </c>
      <c r="K481" s="8">
        <f t="shared" si="24"/>
        <v>25.109338474325103</v>
      </c>
      <c r="L481" s="8">
        <f t="shared" si="26"/>
        <v>12.554669237162551</v>
      </c>
    </row>
    <row r="482" spans="1:12" x14ac:dyDescent="0.25">
      <c r="A482" s="1">
        <v>481</v>
      </c>
      <c r="B482" s="1">
        <v>373</v>
      </c>
      <c r="C482" s="3" t="s">
        <v>49</v>
      </c>
      <c r="D482" s="5" t="s">
        <v>23</v>
      </c>
      <c r="E482" s="10">
        <v>1.97</v>
      </c>
      <c r="F482" s="10">
        <v>9.42</v>
      </c>
      <c r="G482" s="10">
        <v>4.91</v>
      </c>
      <c r="H482" s="10">
        <v>1.79</v>
      </c>
      <c r="I482" s="8">
        <f t="shared" si="25"/>
        <v>2.5165001399999998</v>
      </c>
      <c r="K482" s="8">
        <f t="shared" si="24"/>
        <v>7.4973451497852759</v>
      </c>
      <c r="L482" s="8">
        <f t="shared" si="26"/>
        <v>3.7486725748926379</v>
      </c>
    </row>
    <row r="483" spans="1:12" x14ac:dyDescent="0.25">
      <c r="A483" s="1">
        <v>482</v>
      </c>
      <c r="B483" s="1">
        <v>374</v>
      </c>
      <c r="C483" s="3" t="s">
        <v>49</v>
      </c>
      <c r="D483" s="5" t="s">
        <v>23</v>
      </c>
      <c r="E483" s="10">
        <v>1.78</v>
      </c>
      <c r="F483" s="10">
        <v>6.82</v>
      </c>
      <c r="G483" s="10">
        <f>F483-2</f>
        <v>4.82</v>
      </c>
      <c r="H483" s="10">
        <v>1.86</v>
      </c>
      <c r="I483" s="8">
        <f t="shared" si="25"/>
        <v>2.7171698400000004</v>
      </c>
      <c r="K483" s="8">
        <f t="shared" si="24"/>
        <v>7.2165297945497864</v>
      </c>
      <c r="L483" s="8">
        <f t="shared" si="26"/>
        <v>3.6082648972748932</v>
      </c>
    </row>
    <row r="484" spans="1:12" x14ac:dyDescent="0.25">
      <c r="A484" s="1">
        <v>483</v>
      </c>
      <c r="B484" s="1">
        <v>375</v>
      </c>
      <c r="C484" s="3" t="s">
        <v>49</v>
      </c>
      <c r="D484" s="5" t="s">
        <v>23</v>
      </c>
      <c r="E484" s="10">
        <v>1.67</v>
      </c>
      <c r="F484" s="10">
        <v>9.44</v>
      </c>
      <c r="G484" s="10">
        <v>5.09</v>
      </c>
      <c r="H484" s="10">
        <v>1.88</v>
      </c>
      <c r="I484" s="8">
        <f t="shared" si="25"/>
        <v>2.7759177599999996</v>
      </c>
      <c r="K484" s="8">
        <f t="shared" si="24"/>
        <v>8.0755663453462585</v>
      </c>
      <c r="L484" s="8">
        <f t="shared" si="26"/>
        <v>4.0377831726731293</v>
      </c>
    </row>
    <row r="485" spans="1:12" x14ac:dyDescent="0.25">
      <c r="A485" s="1">
        <v>484</v>
      </c>
      <c r="B485" s="1">
        <v>376</v>
      </c>
      <c r="C485" s="3" t="s">
        <v>49</v>
      </c>
      <c r="D485" s="5" t="s">
        <v>23</v>
      </c>
      <c r="E485" s="10">
        <v>1.4</v>
      </c>
      <c r="F485" s="10">
        <v>8.7799999999999994</v>
      </c>
      <c r="G485" s="10">
        <f>F485-2</f>
        <v>6.7799999999999994</v>
      </c>
      <c r="H485" s="10">
        <v>1.84</v>
      </c>
      <c r="I485" s="8">
        <f t="shared" si="25"/>
        <v>2.65905024</v>
      </c>
      <c r="K485" s="8">
        <f t="shared" si="24"/>
        <v>14.591613542957285</v>
      </c>
      <c r="L485" s="8">
        <f t="shared" si="26"/>
        <v>7.2958067714786425</v>
      </c>
    </row>
    <row r="486" spans="1:12" x14ac:dyDescent="0.25">
      <c r="A486" s="1">
        <v>485</v>
      </c>
      <c r="B486" s="1">
        <v>377</v>
      </c>
      <c r="C486" s="3" t="s">
        <v>49</v>
      </c>
      <c r="D486" s="5" t="s">
        <v>23</v>
      </c>
      <c r="E486" s="10">
        <v>1.2</v>
      </c>
      <c r="F486" s="10">
        <v>10.46</v>
      </c>
      <c r="G486" s="10">
        <v>4.82</v>
      </c>
      <c r="H486" s="10">
        <v>1.76</v>
      </c>
      <c r="I486" s="8">
        <f t="shared" si="25"/>
        <v>2.4328550399999997</v>
      </c>
      <c r="K486" s="8">
        <f t="shared" si="24"/>
        <v>7.2165297945497864</v>
      </c>
      <c r="L486" s="8">
        <f t="shared" si="26"/>
        <v>3.6082648972748932</v>
      </c>
    </row>
    <row r="487" spans="1:12" x14ac:dyDescent="0.25">
      <c r="A487" s="1">
        <v>486</v>
      </c>
      <c r="B487" s="1">
        <v>378</v>
      </c>
      <c r="C487" s="3" t="s">
        <v>49</v>
      </c>
      <c r="D487" s="5" t="s">
        <v>23</v>
      </c>
      <c r="E487" s="10">
        <v>1.68</v>
      </c>
      <c r="F487" s="10">
        <v>5.75</v>
      </c>
      <c r="G487" s="10">
        <f>F487-2</f>
        <v>3.75</v>
      </c>
      <c r="H487" s="10">
        <v>2.0699999999999998</v>
      </c>
      <c r="I487" s="8">
        <f t="shared" si="25"/>
        <v>3.3653604599999993</v>
      </c>
      <c r="K487" s="8">
        <f t="shared" si="24"/>
        <v>4.2990685146535457</v>
      </c>
      <c r="L487" s="8">
        <f t="shared" si="26"/>
        <v>2.1495342573267728</v>
      </c>
    </row>
    <row r="488" spans="1:12" x14ac:dyDescent="0.25">
      <c r="A488" s="1">
        <v>487</v>
      </c>
      <c r="B488" s="1">
        <v>379</v>
      </c>
      <c r="C488" s="3" t="s">
        <v>49</v>
      </c>
      <c r="D488" s="5" t="s">
        <v>23</v>
      </c>
      <c r="E488" s="10">
        <v>1.41</v>
      </c>
      <c r="F488" s="10">
        <v>10.33</v>
      </c>
      <c r="G488" s="10">
        <v>9.11</v>
      </c>
      <c r="H488" s="10">
        <v>1.94</v>
      </c>
      <c r="I488" s="8">
        <f t="shared" si="25"/>
        <v>2.9559314399999996</v>
      </c>
      <c r="K488" s="8">
        <f t="shared" si="24"/>
        <v>26.842750611170182</v>
      </c>
      <c r="L488" s="8">
        <f t="shared" si="26"/>
        <v>13.421375305585091</v>
      </c>
    </row>
    <row r="489" spans="1:12" x14ac:dyDescent="0.25">
      <c r="A489" s="1">
        <v>488</v>
      </c>
      <c r="B489" s="1">
        <v>380</v>
      </c>
      <c r="C489" s="3" t="s">
        <v>49</v>
      </c>
      <c r="D489" s="5" t="s">
        <v>23</v>
      </c>
      <c r="E489" s="10">
        <v>2.25</v>
      </c>
      <c r="F489" s="10">
        <v>8.7899999999999991</v>
      </c>
      <c r="G489" s="10">
        <f>F489-2</f>
        <v>6.7899999999999991</v>
      </c>
      <c r="H489" s="10">
        <v>1.91</v>
      </c>
      <c r="I489" s="8">
        <f t="shared" si="25"/>
        <v>2.8652177399999998</v>
      </c>
      <c r="K489" s="8">
        <f t="shared" si="24"/>
        <v>14.636058100707912</v>
      </c>
      <c r="L489" s="8">
        <f t="shared" si="26"/>
        <v>7.3180290503539558</v>
      </c>
    </row>
    <row r="490" spans="1:12" x14ac:dyDescent="0.25">
      <c r="A490" s="1">
        <v>489</v>
      </c>
      <c r="B490" s="1">
        <v>381</v>
      </c>
      <c r="C490" s="3" t="s">
        <v>49</v>
      </c>
      <c r="D490" s="5" t="s">
        <v>23</v>
      </c>
      <c r="E490" s="10">
        <v>1.52</v>
      </c>
      <c r="F490" s="10">
        <v>11.74</v>
      </c>
      <c r="G490" s="10">
        <v>4.3</v>
      </c>
      <c r="H490" s="10">
        <v>1.75</v>
      </c>
      <c r="I490" s="8">
        <f t="shared" si="25"/>
        <v>2.4052875</v>
      </c>
      <c r="K490" s="8">
        <f t="shared" si="24"/>
        <v>5.7019447352312129</v>
      </c>
      <c r="L490" s="8">
        <f t="shared" si="26"/>
        <v>2.8509723676156065</v>
      </c>
    </row>
    <row r="491" spans="1:12" x14ac:dyDescent="0.25">
      <c r="A491" s="1">
        <v>490</v>
      </c>
      <c r="B491" s="1">
        <v>382</v>
      </c>
      <c r="C491" s="3" t="s">
        <v>49</v>
      </c>
      <c r="D491" s="5" t="s">
        <v>23</v>
      </c>
      <c r="E491" s="10">
        <v>2.23</v>
      </c>
      <c r="F491" s="10">
        <v>7.39</v>
      </c>
      <c r="G491" s="10">
        <f>F491-2</f>
        <v>5.39</v>
      </c>
      <c r="H491" s="10">
        <v>1.87</v>
      </c>
      <c r="I491" s="8">
        <f t="shared" si="25"/>
        <v>2.7464652600000004</v>
      </c>
      <c r="K491" s="8">
        <f t="shared" si="24"/>
        <v>9.0885429218479068</v>
      </c>
      <c r="L491" s="8">
        <f t="shared" si="26"/>
        <v>4.5442714609239534</v>
      </c>
    </row>
    <row r="492" spans="1:12" x14ac:dyDescent="0.25">
      <c r="A492" s="1">
        <v>491</v>
      </c>
      <c r="B492" s="1">
        <v>383</v>
      </c>
      <c r="C492" s="3" t="s">
        <v>49</v>
      </c>
      <c r="D492" s="5" t="s">
        <v>23</v>
      </c>
      <c r="E492" s="10">
        <v>2.0299999999999998</v>
      </c>
      <c r="F492" s="10">
        <v>9.43</v>
      </c>
      <c r="G492" s="10">
        <v>6.21</v>
      </c>
      <c r="H492" s="10">
        <v>1.98</v>
      </c>
      <c r="I492" s="8">
        <f t="shared" si="25"/>
        <v>3.07908216</v>
      </c>
      <c r="K492" s="8">
        <f t="shared" si="24"/>
        <v>12.173216964796378</v>
      </c>
      <c r="L492" s="8">
        <f t="shared" si="26"/>
        <v>6.086608482398189</v>
      </c>
    </row>
    <row r="493" spans="1:12" x14ac:dyDescent="0.25">
      <c r="A493" s="1">
        <v>492</v>
      </c>
      <c r="B493" s="1">
        <v>384</v>
      </c>
      <c r="C493" s="3" t="s">
        <v>49</v>
      </c>
      <c r="D493" s="5" t="s">
        <v>23</v>
      </c>
      <c r="E493" s="10">
        <v>1.2</v>
      </c>
      <c r="F493" s="10">
        <v>11.52</v>
      </c>
      <c r="G493" s="10">
        <v>6.38</v>
      </c>
      <c r="H493" s="10">
        <v>2.02</v>
      </c>
      <c r="I493" s="8">
        <f t="shared" si="25"/>
        <v>3.20474616</v>
      </c>
      <c r="K493" s="8">
        <f t="shared" si="24"/>
        <v>12.870882220059945</v>
      </c>
      <c r="L493" s="8">
        <f t="shared" si="26"/>
        <v>6.4354411100299727</v>
      </c>
    </row>
    <row r="494" spans="1:12" x14ac:dyDescent="0.25">
      <c r="A494" s="1">
        <v>493</v>
      </c>
      <c r="B494" s="1">
        <v>385</v>
      </c>
      <c r="C494" s="3" t="s">
        <v>49</v>
      </c>
      <c r="D494" s="5" t="s">
        <v>23</v>
      </c>
      <c r="E494" s="10">
        <v>2.19</v>
      </c>
      <c r="F494" s="10">
        <v>5.72</v>
      </c>
      <c r="G494" s="10">
        <v>3.93</v>
      </c>
      <c r="H494" s="10">
        <v>1.97</v>
      </c>
      <c r="I494" s="8">
        <f t="shared" si="25"/>
        <v>3.0480588599999998</v>
      </c>
      <c r="K494" s="8">
        <f t="shared" si="24"/>
        <v>4.735762053493084</v>
      </c>
      <c r="L494" s="8">
        <f t="shared" si="26"/>
        <v>2.367881026746542</v>
      </c>
    </row>
    <row r="495" spans="1:12" x14ac:dyDescent="0.25">
      <c r="A495" s="1">
        <v>494</v>
      </c>
      <c r="B495" s="1">
        <v>386</v>
      </c>
      <c r="C495" s="3" t="s">
        <v>49</v>
      </c>
      <c r="D495" s="5" t="s">
        <v>23</v>
      </c>
      <c r="E495" s="10">
        <v>1.96</v>
      </c>
      <c r="F495" s="10">
        <v>11.56</v>
      </c>
      <c r="G495" s="10">
        <v>3.56</v>
      </c>
      <c r="H495" s="10">
        <v>1.95</v>
      </c>
      <c r="I495" s="8">
        <f t="shared" si="25"/>
        <v>2.9864834999999998</v>
      </c>
      <c r="K495" s="8">
        <f t="shared" ref="K495:K558" si="27">0.2811*G495^2.0635</f>
        <v>3.8616945249882639</v>
      </c>
      <c r="L495" s="8">
        <f t="shared" si="26"/>
        <v>1.930847262494132</v>
      </c>
    </row>
    <row r="496" spans="1:12" x14ac:dyDescent="0.25">
      <c r="A496" s="1">
        <v>495</v>
      </c>
      <c r="B496" s="1">
        <v>387</v>
      </c>
      <c r="C496" s="3" t="s">
        <v>49</v>
      </c>
      <c r="D496" s="5" t="s">
        <v>23</v>
      </c>
      <c r="E496" s="10">
        <v>1.51</v>
      </c>
      <c r="F496" s="10">
        <v>9.82</v>
      </c>
      <c r="G496" s="10">
        <v>8.1</v>
      </c>
      <c r="H496" s="10">
        <v>1.68</v>
      </c>
      <c r="I496" s="8">
        <f t="shared" si="25"/>
        <v>2.2167129599999997</v>
      </c>
      <c r="K496" s="8">
        <f t="shared" si="27"/>
        <v>21.06297353436749</v>
      </c>
      <c r="L496" s="8">
        <f t="shared" si="26"/>
        <v>10.531486767183745</v>
      </c>
    </row>
    <row r="497" spans="1:12" x14ac:dyDescent="0.25">
      <c r="A497" s="1">
        <v>496</v>
      </c>
      <c r="B497" s="1">
        <v>388</v>
      </c>
      <c r="C497" s="3" t="s">
        <v>49</v>
      </c>
      <c r="D497" s="5" t="s">
        <v>23</v>
      </c>
      <c r="E497" s="10">
        <v>1.56</v>
      </c>
      <c r="F497" s="10">
        <v>5.47</v>
      </c>
      <c r="G497" s="10">
        <f>F497-2</f>
        <v>3.4699999999999998</v>
      </c>
      <c r="H497" s="10">
        <v>2.0099999999999998</v>
      </c>
      <c r="I497" s="8">
        <f t="shared" si="25"/>
        <v>3.1730945399999992</v>
      </c>
      <c r="K497" s="8">
        <f t="shared" si="27"/>
        <v>3.6629476918821657</v>
      </c>
      <c r="L497" s="8">
        <f t="shared" si="26"/>
        <v>1.8314738459410829</v>
      </c>
    </row>
    <row r="498" spans="1:12" x14ac:dyDescent="0.25">
      <c r="A498" s="1">
        <v>497</v>
      </c>
      <c r="B498" s="1">
        <v>389</v>
      </c>
      <c r="C498" s="3" t="s">
        <v>49</v>
      </c>
      <c r="D498" s="5" t="s">
        <v>23</v>
      </c>
      <c r="E498" s="10">
        <v>1.71</v>
      </c>
      <c r="F498" s="10">
        <v>7.11</v>
      </c>
      <c r="G498" s="10">
        <v>6.06</v>
      </c>
      <c r="H498" s="10">
        <v>1.79</v>
      </c>
      <c r="I498" s="8">
        <f t="shared" si="25"/>
        <v>2.5165001399999998</v>
      </c>
      <c r="K498" s="8">
        <f t="shared" si="27"/>
        <v>11.574256578126677</v>
      </c>
      <c r="L498" s="8">
        <f t="shared" si="26"/>
        <v>5.7871282890633386</v>
      </c>
    </row>
    <row r="499" spans="1:12" x14ac:dyDescent="0.25">
      <c r="A499" s="1">
        <v>498</v>
      </c>
      <c r="B499" s="1">
        <v>390</v>
      </c>
      <c r="C499" s="3" t="s">
        <v>49</v>
      </c>
      <c r="D499" s="5" t="s">
        <v>23</v>
      </c>
      <c r="E499" s="10">
        <v>2.37</v>
      </c>
      <c r="F499" s="10">
        <v>9.9600000000000009</v>
      </c>
      <c r="G499" s="10">
        <v>8.11</v>
      </c>
      <c r="H499" s="10">
        <v>1.91</v>
      </c>
      <c r="I499" s="8">
        <f t="shared" si="25"/>
        <v>2.8652177399999998</v>
      </c>
      <c r="K499" s="8">
        <f t="shared" si="27"/>
        <v>21.116667336319214</v>
      </c>
      <c r="L499" s="8">
        <f t="shared" si="26"/>
        <v>10.558333668159607</v>
      </c>
    </row>
    <row r="500" spans="1:12" x14ac:dyDescent="0.25">
      <c r="A500" s="1">
        <v>499</v>
      </c>
      <c r="B500" s="1">
        <v>391</v>
      </c>
      <c r="C500" s="3" t="s">
        <v>49</v>
      </c>
      <c r="D500" s="5" t="s">
        <v>23</v>
      </c>
      <c r="E500" s="10">
        <v>1.56</v>
      </c>
      <c r="F500" s="10">
        <v>5.47</v>
      </c>
      <c r="G500" s="10">
        <f>F500-2</f>
        <v>3.4699999999999998</v>
      </c>
      <c r="H500" s="10">
        <v>2</v>
      </c>
      <c r="I500" s="8">
        <f t="shared" si="25"/>
        <v>3.1415999999999999</v>
      </c>
      <c r="K500" s="8">
        <f t="shared" si="27"/>
        <v>3.6629476918821657</v>
      </c>
      <c r="L500" s="8">
        <f t="shared" si="26"/>
        <v>1.8314738459410829</v>
      </c>
    </row>
    <row r="501" spans="1:12" x14ac:dyDescent="0.25">
      <c r="A501" s="1">
        <v>500</v>
      </c>
      <c r="B501" s="1">
        <v>392</v>
      </c>
      <c r="C501" s="3" t="s">
        <v>49</v>
      </c>
      <c r="D501" s="5" t="s">
        <v>23</v>
      </c>
      <c r="E501" s="10">
        <v>2</v>
      </c>
      <c r="F501" s="10">
        <v>9.08</v>
      </c>
      <c r="G501" s="10">
        <v>4.1100000000000003</v>
      </c>
      <c r="H501" s="10">
        <v>1.95</v>
      </c>
      <c r="I501" s="8">
        <f t="shared" si="25"/>
        <v>2.9864834999999998</v>
      </c>
      <c r="K501" s="8">
        <f t="shared" si="27"/>
        <v>5.194257135419595</v>
      </c>
      <c r="L501" s="8">
        <f t="shared" si="26"/>
        <v>2.5971285677097975</v>
      </c>
    </row>
    <row r="502" spans="1:12" x14ac:dyDescent="0.25">
      <c r="A502" s="1">
        <v>501</v>
      </c>
      <c r="B502" s="1">
        <v>393</v>
      </c>
      <c r="C502" s="3" t="s">
        <v>49</v>
      </c>
      <c r="D502" s="5" t="s">
        <v>23</v>
      </c>
      <c r="E502" s="10">
        <v>1.75</v>
      </c>
      <c r="F502" s="10">
        <v>7.42</v>
      </c>
      <c r="G502" s="10">
        <f>F502-2</f>
        <v>5.42</v>
      </c>
      <c r="H502" s="10">
        <v>1.74</v>
      </c>
      <c r="I502" s="8">
        <f t="shared" si="25"/>
        <v>2.37787704</v>
      </c>
      <c r="K502" s="8">
        <f t="shared" si="27"/>
        <v>9.1932352448289585</v>
      </c>
      <c r="L502" s="8">
        <f t="shared" si="26"/>
        <v>4.5966176224144792</v>
      </c>
    </row>
    <row r="503" spans="1:12" x14ac:dyDescent="0.25">
      <c r="A503" s="1">
        <v>502</v>
      </c>
      <c r="B503" s="1">
        <v>394</v>
      </c>
      <c r="C503" s="3" t="s">
        <v>49</v>
      </c>
      <c r="D503" s="5" t="s">
        <v>23</v>
      </c>
      <c r="E503" s="10">
        <v>2.17</v>
      </c>
      <c r="F503" s="10">
        <v>9.35</v>
      </c>
      <c r="G503" s="10">
        <v>3.95</v>
      </c>
      <c r="H503" s="10">
        <v>2.1</v>
      </c>
      <c r="I503" s="8">
        <f t="shared" si="25"/>
        <v>3.4636140000000002</v>
      </c>
      <c r="K503" s="8">
        <f t="shared" si="27"/>
        <v>4.7856281735027855</v>
      </c>
      <c r="L503" s="8">
        <f t="shared" si="26"/>
        <v>2.3928140867513927</v>
      </c>
    </row>
    <row r="504" spans="1:12" x14ac:dyDescent="0.25">
      <c r="A504" s="1">
        <v>503</v>
      </c>
      <c r="B504" s="1">
        <v>395</v>
      </c>
      <c r="C504" s="3" t="s">
        <v>49</v>
      </c>
      <c r="D504" s="5" t="s">
        <v>23</v>
      </c>
      <c r="E504" s="10">
        <v>1.35</v>
      </c>
      <c r="F504" s="10">
        <v>5.32</v>
      </c>
      <c r="G504" s="10">
        <f>F504-2</f>
        <v>3.3200000000000003</v>
      </c>
      <c r="H504" s="10">
        <v>1.68</v>
      </c>
      <c r="I504" s="8">
        <f t="shared" si="25"/>
        <v>2.2167129599999997</v>
      </c>
      <c r="K504" s="8">
        <f t="shared" si="27"/>
        <v>3.3437152146177564</v>
      </c>
      <c r="L504" s="8">
        <f t="shared" si="26"/>
        <v>1.6718576073088782</v>
      </c>
    </row>
    <row r="505" spans="1:12" x14ac:dyDescent="0.25">
      <c r="A505" s="1">
        <v>504</v>
      </c>
      <c r="B505" s="1">
        <v>396</v>
      </c>
      <c r="C505" s="3" t="s">
        <v>49</v>
      </c>
      <c r="D505" s="5" t="s">
        <v>23</v>
      </c>
      <c r="E505" s="10">
        <v>1.51</v>
      </c>
      <c r="F505" s="10">
        <v>11.1</v>
      </c>
      <c r="G505" s="10">
        <v>7.6</v>
      </c>
      <c r="H505" s="10">
        <v>1.79</v>
      </c>
      <c r="I505" s="8">
        <f t="shared" si="25"/>
        <v>2.5165001399999998</v>
      </c>
      <c r="K505" s="8">
        <f t="shared" si="27"/>
        <v>18.467992660324004</v>
      </c>
      <c r="L505" s="8">
        <f t="shared" si="26"/>
        <v>9.2339963301620021</v>
      </c>
    </row>
    <row r="506" spans="1:12" x14ac:dyDescent="0.25">
      <c r="A506" s="1">
        <v>505</v>
      </c>
      <c r="B506" s="1">
        <v>397</v>
      </c>
      <c r="C506" s="3" t="s">
        <v>49</v>
      </c>
      <c r="D506" s="5" t="s">
        <v>23</v>
      </c>
      <c r="E506" s="10">
        <v>1.6</v>
      </c>
      <c r="F506" s="10">
        <v>11.81</v>
      </c>
      <c r="G506" s="10">
        <v>9.6999999999999993</v>
      </c>
      <c r="H506" s="10">
        <v>2.0299999999999998</v>
      </c>
      <c r="I506" s="8">
        <f t="shared" si="25"/>
        <v>3.2365548599999991</v>
      </c>
      <c r="K506" s="8">
        <f t="shared" si="27"/>
        <v>30.553735823171479</v>
      </c>
      <c r="L506" s="8">
        <f t="shared" si="26"/>
        <v>15.27686791158574</v>
      </c>
    </row>
    <row r="507" spans="1:12" x14ac:dyDescent="0.25">
      <c r="A507" s="1">
        <v>506</v>
      </c>
      <c r="B507" s="1">
        <v>398</v>
      </c>
      <c r="C507" s="3" t="s">
        <v>49</v>
      </c>
      <c r="D507" s="5" t="s">
        <v>23</v>
      </c>
      <c r="E507" s="10">
        <v>1.92</v>
      </c>
      <c r="F507" s="10">
        <v>11.78</v>
      </c>
      <c r="G507" s="10">
        <v>3.48</v>
      </c>
      <c r="H507" s="10">
        <v>1.84</v>
      </c>
      <c r="I507" s="8">
        <f t="shared" si="25"/>
        <v>2.65905024</v>
      </c>
      <c r="K507" s="8">
        <f t="shared" si="27"/>
        <v>3.6847634730323016</v>
      </c>
      <c r="L507" s="8">
        <f t="shared" si="26"/>
        <v>1.8423817365161508</v>
      </c>
    </row>
    <row r="508" spans="1:12" x14ac:dyDescent="0.25">
      <c r="A508" s="1">
        <v>507</v>
      </c>
      <c r="B508" s="1">
        <v>399</v>
      </c>
      <c r="C508" s="3" t="s">
        <v>49</v>
      </c>
      <c r="D508" s="5" t="s">
        <v>23</v>
      </c>
      <c r="E508" s="10">
        <v>2.37</v>
      </c>
      <c r="F508" s="10">
        <v>10.25</v>
      </c>
      <c r="G508" s="10">
        <v>3.4</v>
      </c>
      <c r="H508" s="10">
        <v>1.88</v>
      </c>
      <c r="I508" s="8">
        <f t="shared" si="25"/>
        <v>2.7759177599999996</v>
      </c>
      <c r="K508" s="8">
        <f t="shared" si="27"/>
        <v>3.5121058051934697</v>
      </c>
      <c r="L508" s="8">
        <f t="shared" si="26"/>
        <v>1.7560529025967349</v>
      </c>
    </row>
    <row r="509" spans="1:12" x14ac:dyDescent="0.25">
      <c r="A509" s="1">
        <v>508</v>
      </c>
      <c r="B509" s="1">
        <v>400</v>
      </c>
      <c r="C509" s="3" t="s">
        <v>49</v>
      </c>
      <c r="D509" s="5" t="s">
        <v>23</v>
      </c>
      <c r="E509" s="10">
        <v>1.25</v>
      </c>
      <c r="F509" s="10">
        <v>5.91</v>
      </c>
      <c r="G509" s="10">
        <v>4.9800000000000004</v>
      </c>
      <c r="H509" s="10">
        <v>1.97</v>
      </c>
      <c r="I509" s="8">
        <f t="shared" si="25"/>
        <v>3.0480588599999998</v>
      </c>
      <c r="K509" s="8">
        <f t="shared" si="27"/>
        <v>7.7195786156682686</v>
      </c>
      <c r="L509" s="8">
        <f t="shared" si="26"/>
        <v>3.8597893078341343</v>
      </c>
    </row>
    <row r="510" spans="1:12" x14ac:dyDescent="0.25">
      <c r="A510" s="1">
        <v>509</v>
      </c>
      <c r="B510" s="1">
        <v>401</v>
      </c>
      <c r="C510" s="3" t="s">
        <v>49</v>
      </c>
      <c r="D510" s="5" t="s">
        <v>23</v>
      </c>
      <c r="E510" s="10">
        <v>1.53</v>
      </c>
      <c r="F510" s="10">
        <v>10.31</v>
      </c>
      <c r="G510" s="10">
        <v>4.83</v>
      </c>
      <c r="H510" s="10">
        <v>1.92</v>
      </c>
      <c r="I510" s="8">
        <f t="shared" si="25"/>
        <v>2.8952985600000001</v>
      </c>
      <c r="K510" s="8">
        <f t="shared" si="27"/>
        <v>7.2474587121416629</v>
      </c>
      <c r="L510" s="8">
        <f t="shared" si="26"/>
        <v>3.6237293560708315</v>
      </c>
    </row>
    <row r="511" spans="1:12" x14ac:dyDescent="0.25">
      <c r="A511" s="1">
        <v>510</v>
      </c>
      <c r="B511" s="1">
        <v>402</v>
      </c>
      <c r="C511" s="3" t="s">
        <v>49</v>
      </c>
      <c r="D511" s="5" t="s">
        <v>23</v>
      </c>
      <c r="E511" s="10">
        <v>1.73</v>
      </c>
      <c r="F511" s="10">
        <v>5.17</v>
      </c>
      <c r="G511" s="10">
        <v>4.7300000000000004</v>
      </c>
      <c r="H511" s="10">
        <v>2.09</v>
      </c>
      <c r="I511" s="8">
        <f t="shared" si="25"/>
        <v>3.4307057399999992</v>
      </c>
      <c r="K511" s="8">
        <f t="shared" si="27"/>
        <v>6.9412359837100812</v>
      </c>
      <c r="L511" s="8">
        <f t="shared" si="26"/>
        <v>3.4706179918550406</v>
      </c>
    </row>
    <row r="512" spans="1:12" x14ac:dyDescent="0.25">
      <c r="A512" s="1">
        <v>511</v>
      </c>
      <c r="B512" s="1">
        <v>403</v>
      </c>
      <c r="C512" s="3" t="s">
        <v>49</v>
      </c>
      <c r="D512" s="5" t="s">
        <v>23</v>
      </c>
      <c r="E512" s="10">
        <v>1.8</v>
      </c>
      <c r="F512" s="10">
        <v>5.15</v>
      </c>
      <c r="G512" s="10">
        <f>F512-2</f>
        <v>3.1500000000000004</v>
      </c>
      <c r="H512" s="10">
        <v>1.98</v>
      </c>
      <c r="I512" s="8">
        <f t="shared" si="25"/>
        <v>3.07908216</v>
      </c>
      <c r="K512" s="8">
        <f t="shared" si="27"/>
        <v>3.0000236151704662</v>
      </c>
      <c r="L512" s="8">
        <f t="shared" si="26"/>
        <v>1.5000118075852331</v>
      </c>
    </row>
    <row r="513" spans="1:12" x14ac:dyDescent="0.25">
      <c r="A513" s="1">
        <v>512</v>
      </c>
      <c r="B513" s="1">
        <v>404</v>
      </c>
      <c r="C513" s="3" t="s">
        <v>49</v>
      </c>
      <c r="D513" s="5" t="s">
        <v>23</v>
      </c>
      <c r="E513" s="10">
        <v>1.91</v>
      </c>
      <c r="F513" s="10">
        <v>7.27</v>
      </c>
      <c r="G513" s="10">
        <v>4.75</v>
      </c>
      <c r="H513" s="10">
        <v>1.97</v>
      </c>
      <c r="I513" s="8">
        <f t="shared" si="25"/>
        <v>3.0480588599999998</v>
      </c>
      <c r="K513" s="8">
        <f t="shared" si="27"/>
        <v>7.0019355520465894</v>
      </c>
      <c r="L513" s="8">
        <f t="shared" si="26"/>
        <v>3.5009677760232947</v>
      </c>
    </row>
    <row r="514" spans="1:12" x14ac:dyDescent="0.25">
      <c r="A514" s="1">
        <v>513</v>
      </c>
      <c r="B514" s="1">
        <v>405</v>
      </c>
      <c r="C514" s="3" t="s">
        <v>49</v>
      </c>
      <c r="D514" s="5" t="s">
        <v>23</v>
      </c>
      <c r="E514" s="10">
        <v>1.41</v>
      </c>
      <c r="F514" s="10">
        <v>8.42</v>
      </c>
      <c r="G514" s="10">
        <v>4.9000000000000004</v>
      </c>
      <c r="H514" s="10">
        <v>2.0099999999999998</v>
      </c>
      <c r="I514" s="8">
        <f t="shared" si="25"/>
        <v>3.1730945399999992</v>
      </c>
      <c r="K514" s="8">
        <f t="shared" si="27"/>
        <v>7.4658705720093703</v>
      </c>
      <c r="L514" s="8">
        <f t="shared" si="26"/>
        <v>3.7329352860046852</v>
      </c>
    </row>
    <row r="515" spans="1:12" x14ac:dyDescent="0.25">
      <c r="A515" s="1">
        <v>514</v>
      </c>
      <c r="B515" s="1">
        <v>406</v>
      </c>
      <c r="C515" s="3" t="s">
        <v>49</v>
      </c>
      <c r="D515" s="5" t="s">
        <v>23</v>
      </c>
      <c r="E515" s="10">
        <v>1.1399999999999999</v>
      </c>
      <c r="F515" s="10">
        <v>10.39</v>
      </c>
      <c r="G515" s="10">
        <v>8.32</v>
      </c>
      <c r="H515" s="10">
        <v>1.83</v>
      </c>
      <c r="I515" s="8">
        <f t="shared" ref="I515:I578" si="28">0.7854*H515^2</f>
        <v>2.6302260600000005</v>
      </c>
      <c r="K515" s="8">
        <f t="shared" si="27"/>
        <v>22.260521244728711</v>
      </c>
      <c r="L515" s="8">
        <f t="shared" ref="L515:L578" si="29">K515*0.5</f>
        <v>11.130260622364355</v>
      </c>
    </row>
    <row r="516" spans="1:12" x14ac:dyDescent="0.25">
      <c r="A516" s="1">
        <v>515</v>
      </c>
      <c r="B516" s="1">
        <v>407</v>
      </c>
      <c r="C516" s="3" t="s">
        <v>49</v>
      </c>
      <c r="D516" s="5" t="s">
        <v>23</v>
      </c>
      <c r="E516" s="10">
        <v>1.21</v>
      </c>
      <c r="F516" s="10">
        <v>9.7799999999999994</v>
      </c>
      <c r="G516" s="10">
        <v>6.15</v>
      </c>
      <c r="H516" s="10">
        <v>1.92</v>
      </c>
      <c r="I516" s="8">
        <f t="shared" si="28"/>
        <v>2.8952985600000001</v>
      </c>
      <c r="K516" s="8">
        <f t="shared" si="27"/>
        <v>11.931763785848714</v>
      </c>
      <c r="L516" s="8">
        <f t="shared" si="29"/>
        <v>5.9658818929243571</v>
      </c>
    </row>
    <row r="517" spans="1:12" x14ac:dyDescent="0.25">
      <c r="A517" s="1">
        <v>516</v>
      </c>
      <c r="B517" s="1">
        <v>408</v>
      </c>
      <c r="C517" s="3" t="s">
        <v>49</v>
      </c>
      <c r="D517" s="5" t="s">
        <v>23</v>
      </c>
      <c r="E517" s="10">
        <v>1.92</v>
      </c>
      <c r="F517" s="10">
        <v>8.1199999999999992</v>
      </c>
      <c r="G517" s="10">
        <f>F517-2</f>
        <v>6.1199999999999992</v>
      </c>
      <c r="H517" s="10">
        <v>1.73</v>
      </c>
      <c r="I517" s="8">
        <f t="shared" si="28"/>
        <v>2.3506236600000001</v>
      </c>
      <c r="K517" s="8">
        <f t="shared" si="27"/>
        <v>11.811971901960018</v>
      </c>
      <c r="L517" s="8">
        <f t="shared" si="29"/>
        <v>5.9059859509800088</v>
      </c>
    </row>
    <row r="518" spans="1:12" x14ac:dyDescent="0.25">
      <c r="A518" s="1">
        <v>517</v>
      </c>
      <c r="B518" s="1">
        <v>409</v>
      </c>
      <c r="C518" s="3" t="s">
        <v>49</v>
      </c>
      <c r="D518" s="5" t="s">
        <v>23</v>
      </c>
      <c r="E518" s="10">
        <v>1.72</v>
      </c>
      <c r="F518" s="10">
        <v>6.92</v>
      </c>
      <c r="G518" s="10">
        <v>3.46</v>
      </c>
      <c r="H518" s="10">
        <v>2.09</v>
      </c>
      <c r="I518" s="8">
        <f t="shared" si="28"/>
        <v>3.4307057399999992</v>
      </c>
      <c r="K518" s="8">
        <f t="shared" si="27"/>
        <v>3.64119867033064</v>
      </c>
      <c r="L518" s="8">
        <f t="shared" si="29"/>
        <v>1.82059933516532</v>
      </c>
    </row>
    <row r="519" spans="1:12" x14ac:dyDescent="0.25">
      <c r="A519" s="1">
        <v>518</v>
      </c>
      <c r="B519" s="1">
        <v>410</v>
      </c>
      <c r="C519" s="3" t="s">
        <v>49</v>
      </c>
      <c r="D519" s="5" t="s">
        <v>23</v>
      </c>
      <c r="E519" s="10">
        <v>1.22</v>
      </c>
      <c r="F519" s="10">
        <v>11.98</v>
      </c>
      <c r="G519" s="10">
        <v>6.41</v>
      </c>
      <c r="H519" s="10">
        <v>1.76</v>
      </c>
      <c r="I519" s="8">
        <f t="shared" si="28"/>
        <v>2.4328550399999997</v>
      </c>
      <c r="K519" s="8">
        <f t="shared" si="27"/>
        <v>12.99608040250927</v>
      </c>
      <c r="L519" s="8">
        <f t="shared" si="29"/>
        <v>6.4980402012546348</v>
      </c>
    </row>
    <row r="520" spans="1:12" x14ac:dyDescent="0.25">
      <c r="A520" s="1">
        <v>519</v>
      </c>
      <c r="B520" s="1">
        <v>411</v>
      </c>
      <c r="C520" s="3" t="s">
        <v>49</v>
      </c>
      <c r="D520" s="5" t="s">
        <v>23</v>
      </c>
      <c r="E520" s="10">
        <v>1.8</v>
      </c>
      <c r="F520" s="10">
        <v>7.98</v>
      </c>
      <c r="G520" s="10">
        <v>3.24</v>
      </c>
      <c r="H520" s="10">
        <v>1.82</v>
      </c>
      <c r="I520" s="8">
        <f t="shared" si="28"/>
        <v>2.6015589600000002</v>
      </c>
      <c r="K520" s="8">
        <f t="shared" si="27"/>
        <v>3.1795852538906333</v>
      </c>
      <c r="L520" s="8">
        <f t="shared" si="29"/>
        <v>1.5897926269453166</v>
      </c>
    </row>
    <row r="521" spans="1:12" x14ac:dyDescent="0.25">
      <c r="A521" s="1">
        <v>520</v>
      </c>
      <c r="B521" s="1">
        <v>412</v>
      </c>
      <c r="C521" s="3" t="s">
        <v>49</v>
      </c>
      <c r="D521" s="5" t="s">
        <v>23</v>
      </c>
      <c r="E521" s="10">
        <v>2.11</v>
      </c>
      <c r="F521" s="10">
        <v>8.16</v>
      </c>
      <c r="G521" s="10">
        <v>3.44</v>
      </c>
      <c r="H521" s="10">
        <v>2.06</v>
      </c>
      <c r="I521" s="8">
        <f t="shared" si="28"/>
        <v>3.3329234399999996</v>
      </c>
      <c r="K521" s="8">
        <f t="shared" si="27"/>
        <v>3.5979008570568758</v>
      </c>
      <c r="L521" s="8">
        <f t="shared" si="29"/>
        <v>1.7989504285284379</v>
      </c>
    </row>
    <row r="522" spans="1:12" x14ac:dyDescent="0.25">
      <c r="A522" s="1">
        <v>521</v>
      </c>
      <c r="B522" s="1">
        <v>413</v>
      </c>
      <c r="C522" s="3" t="s">
        <v>49</v>
      </c>
      <c r="D522" s="5" t="s">
        <v>23</v>
      </c>
      <c r="E522" s="10">
        <v>2.2999999999999998</v>
      </c>
      <c r="F522" s="10">
        <v>6.15</v>
      </c>
      <c r="G522" s="10">
        <f>F522-2</f>
        <v>4.1500000000000004</v>
      </c>
      <c r="H522" s="10">
        <v>2.09</v>
      </c>
      <c r="I522" s="8">
        <f t="shared" si="28"/>
        <v>3.4307057399999992</v>
      </c>
      <c r="K522" s="8">
        <f t="shared" si="27"/>
        <v>5.2991119326445704</v>
      </c>
      <c r="L522" s="8">
        <f t="shared" si="29"/>
        <v>2.6495559663222852</v>
      </c>
    </row>
    <row r="523" spans="1:12" x14ac:dyDescent="0.25">
      <c r="A523" s="1">
        <v>522</v>
      </c>
      <c r="B523" s="1">
        <v>414</v>
      </c>
      <c r="C523" s="3" t="s">
        <v>49</v>
      </c>
      <c r="D523" s="5" t="s">
        <v>23</v>
      </c>
      <c r="E523" s="10">
        <v>2.25</v>
      </c>
      <c r="F523" s="10">
        <v>10.56</v>
      </c>
      <c r="G523" s="10">
        <v>3.97</v>
      </c>
      <c r="H523" s="10">
        <v>1.84</v>
      </c>
      <c r="I523" s="8">
        <f t="shared" si="28"/>
        <v>2.65905024</v>
      </c>
      <c r="K523" s="8">
        <f t="shared" si="27"/>
        <v>4.8357635379035475</v>
      </c>
      <c r="L523" s="8">
        <f t="shared" si="29"/>
        <v>2.4178817689517738</v>
      </c>
    </row>
    <row r="524" spans="1:12" x14ac:dyDescent="0.25">
      <c r="A524" s="1">
        <v>523</v>
      </c>
      <c r="B524" s="1">
        <v>415</v>
      </c>
      <c r="C524" s="3" t="s">
        <v>49</v>
      </c>
      <c r="D524" s="5" t="s">
        <v>23</v>
      </c>
      <c r="E524" s="10">
        <v>1.79</v>
      </c>
      <c r="F524" s="10">
        <v>9.86</v>
      </c>
      <c r="G524" s="10">
        <v>6.73</v>
      </c>
      <c r="H524" s="10">
        <v>1.91</v>
      </c>
      <c r="I524" s="8">
        <f t="shared" si="28"/>
        <v>2.8652177399999998</v>
      </c>
      <c r="K524" s="8">
        <f t="shared" si="27"/>
        <v>14.370435529325023</v>
      </c>
      <c r="L524" s="8">
        <f t="shared" si="29"/>
        <v>7.1852177646625117</v>
      </c>
    </row>
    <row r="525" spans="1:12" x14ac:dyDescent="0.25">
      <c r="A525" s="1">
        <v>524</v>
      </c>
      <c r="B525" s="1">
        <v>416</v>
      </c>
      <c r="C525" s="3" t="s">
        <v>49</v>
      </c>
      <c r="D525" s="5" t="s">
        <v>23</v>
      </c>
      <c r="E525" s="10">
        <v>1.77</v>
      </c>
      <c r="F525" s="10">
        <v>6.55</v>
      </c>
      <c r="G525" s="10">
        <v>5.88</v>
      </c>
      <c r="H525" s="10">
        <v>1.77</v>
      </c>
      <c r="I525" s="8">
        <f t="shared" si="28"/>
        <v>2.4605796600000001</v>
      </c>
      <c r="K525" s="8">
        <f t="shared" si="27"/>
        <v>10.876044051831922</v>
      </c>
      <c r="L525" s="8">
        <f t="shared" si="29"/>
        <v>5.4380220259159611</v>
      </c>
    </row>
    <row r="526" spans="1:12" x14ac:dyDescent="0.25">
      <c r="A526" s="1">
        <v>525</v>
      </c>
      <c r="B526" s="1">
        <v>417</v>
      </c>
      <c r="C526" s="3" t="s">
        <v>49</v>
      </c>
      <c r="D526" s="5" t="s">
        <v>23</v>
      </c>
      <c r="E526" s="10">
        <v>1.4</v>
      </c>
      <c r="F526" s="10">
        <v>5.58</v>
      </c>
      <c r="G526" s="10">
        <f>F526-2</f>
        <v>3.58</v>
      </c>
      <c r="H526" s="10">
        <v>1.93</v>
      </c>
      <c r="I526" s="8">
        <f t="shared" si="28"/>
        <v>2.92553646</v>
      </c>
      <c r="K526" s="8">
        <f t="shared" si="27"/>
        <v>3.9065957304519769</v>
      </c>
      <c r="L526" s="8">
        <f t="shared" si="29"/>
        <v>1.9532978652259885</v>
      </c>
    </row>
    <row r="527" spans="1:12" x14ac:dyDescent="0.25">
      <c r="A527" s="1">
        <v>526</v>
      </c>
      <c r="B527" s="1">
        <v>418</v>
      </c>
      <c r="C527" s="3" t="s">
        <v>49</v>
      </c>
      <c r="D527" s="5" t="s">
        <v>23</v>
      </c>
      <c r="E527" s="10">
        <v>1.1399999999999999</v>
      </c>
      <c r="F527" s="10">
        <v>9.76</v>
      </c>
      <c r="G527" s="10">
        <v>9.3000000000000007</v>
      </c>
      <c r="H527" s="10">
        <v>2.0099999999999998</v>
      </c>
      <c r="I527" s="8">
        <f t="shared" si="28"/>
        <v>3.1730945399999992</v>
      </c>
      <c r="K527" s="8">
        <f t="shared" si="27"/>
        <v>28.010793377311927</v>
      </c>
      <c r="L527" s="8">
        <f t="shared" si="29"/>
        <v>14.005396688655964</v>
      </c>
    </row>
    <row r="528" spans="1:12" x14ac:dyDescent="0.25">
      <c r="A528" s="1">
        <v>527</v>
      </c>
      <c r="B528" s="1">
        <v>419</v>
      </c>
      <c r="C528" s="3" t="s">
        <v>49</v>
      </c>
      <c r="D528" s="5" t="s">
        <v>23</v>
      </c>
      <c r="E528" s="10">
        <v>1.38</v>
      </c>
      <c r="F528" s="10">
        <v>9.58</v>
      </c>
      <c r="G528" s="10">
        <v>3.15</v>
      </c>
      <c r="H528" s="10">
        <v>1.86</v>
      </c>
      <c r="I528" s="8">
        <f t="shared" si="28"/>
        <v>2.7171698400000004</v>
      </c>
      <c r="K528" s="8">
        <f t="shared" si="27"/>
        <v>3.0000236151704662</v>
      </c>
      <c r="L528" s="8">
        <f t="shared" si="29"/>
        <v>1.5000118075852331</v>
      </c>
    </row>
    <row r="529" spans="1:12" x14ac:dyDescent="0.25">
      <c r="A529" s="1">
        <v>528</v>
      </c>
      <c r="B529" s="1">
        <v>420</v>
      </c>
      <c r="C529" s="3" t="s">
        <v>49</v>
      </c>
      <c r="D529" s="5" t="s">
        <v>23</v>
      </c>
      <c r="E529" s="10">
        <v>2</v>
      </c>
      <c r="F529" s="10">
        <v>6.91</v>
      </c>
      <c r="G529" s="10">
        <f>F529-2</f>
        <v>4.91</v>
      </c>
      <c r="H529" s="10">
        <v>2.0099999999999998</v>
      </c>
      <c r="I529" s="8">
        <f t="shared" si="28"/>
        <v>3.1730945399999992</v>
      </c>
      <c r="K529" s="8">
        <f t="shared" si="27"/>
        <v>7.4973451497852759</v>
      </c>
      <c r="L529" s="8">
        <f t="shared" si="29"/>
        <v>3.7486725748926379</v>
      </c>
    </row>
    <row r="530" spans="1:12" x14ac:dyDescent="0.25">
      <c r="A530" s="1">
        <v>529</v>
      </c>
      <c r="B530" s="1">
        <v>421</v>
      </c>
      <c r="C530" s="3" t="s">
        <v>49</v>
      </c>
      <c r="D530" s="5" t="s">
        <v>23</v>
      </c>
      <c r="E530" s="10">
        <v>1.93</v>
      </c>
      <c r="F530" s="10">
        <v>11.66</v>
      </c>
      <c r="G530" s="10">
        <v>9.74</v>
      </c>
      <c r="H530" s="10">
        <v>1.9</v>
      </c>
      <c r="I530" s="8">
        <f t="shared" si="28"/>
        <v>2.8352939999999998</v>
      </c>
      <c r="K530" s="8">
        <f t="shared" si="27"/>
        <v>30.814296217968373</v>
      </c>
      <c r="L530" s="8">
        <f t="shared" si="29"/>
        <v>15.407148108984186</v>
      </c>
    </row>
    <row r="531" spans="1:12" x14ac:dyDescent="0.25">
      <c r="A531" s="1">
        <v>530</v>
      </c>
      <c r="B531" s="1">
        <v>422</v>
      </c>
      <c r="C531" s="3" t="s">
        <v>49</v>
      </c>
      <c r="D531" s="5" t="s">
        <v>23</v>
      </c>
      <c r="E531" s="10">
        <v>1.1399999999999999</v>
      </c>
      <c r="F531" s="10">
        <v>6.06</v>
      </c>
      <c r="G531" s="10">
        <f>F531-2</f>
        <v>4.0599999999999996</v>
      </c>
      <c r="H531" s="10">
        <v>1.91</v>
      </c>
      <c r="I531" s="8">
        <f t="shared" si="28"/>
        <v>2.8652177399999998</v>
      </c>
      <c r="K531" s="8">
        <f t="shared" si="27"/>
        <v>5.0647068831623638</v>
      </c>
      <c r="L531" s="8">
        <f t="shared" si="29"/>
        <v>2.5323534415811819</v>
      </c>
    </row>
    <row r="532" spans="1:12" x14ac:dyDescent="0.25">
      <c r="A532" s="1">
        <v>531</v>
      </c>
      <c r="B532" s="1">
        <v>423</v>
      </c>
      <c r="C532" s="3" t="s">
        <v>49</v>
      </c>
      <c r="D532" s="5" t="s">
        <v>23</v>
      </c>
      <c r="E532" s="10">
        <v>1.23</v>
      </c>
      <c r="F532" s="10">
        <v>8.0299999999999994</v>
      </c>
      <c r="G532" s="10">
        <f>F532-2</f>
        <v>6.0299999999999994</v>
      </c>
      <c r="H532" s="10">
        <v>2</v>
      </c>
      <c r="I532" s="8">
        <f t="shared" si="28"/>
        <v>3.1415999999999999</v>
      </c>
      <c r="K532" s="8">
        <f t="shared" si="27"/>
        <v>11.45633274861607</v>
      </c>
      <c r="L532" s="8">
        <f t="shared" si="29"/>
        <v>5.7281663743080351</v>
      </c>
    </row>
    <row r="533" spans="1:12" x14ac:dyDescent="0.25">
      <c r="A533" s="1">
        <v>532</v>
      </c>
      <c r="B533" s="1">
        <v>424</v>
      </c>
      <c r="C533" s="3" t="s">
        <v>49</v>
      </c>
      <c r="D533" s="5" t="s">
        <v>23</v>
      </c>
      <c r="E533" s="10">
        <v>2.19</v>
      </c>
      <c r="F533" s="10">
        <v>11.61</v>
      </c>
      <c r="G533" s="10">
        <v>3.37</v>
      </c>
      <c r="H533" s="10">
        <v>1.82</v>
      </c>
      <c r="I533" s="8">
        <f t="shared" si="28"/>
        <v>2.6015589600000002</v>
      </c>
      <c r="K533" s="8">
        <f t="shared" si="27"/>
        <v>3.4484596287737599</v>
      </c>
      <c r="L533" s="8">
        <f t="shared" si="29"/>
        <v>1.7242298143868799</v>
      </c>
    </row>
    <row r="534" spans="1:12" x14ac:dyDescent="0.25">
      <c r="A534" s="1">
        <v>533</v>
      </c>
      <c r="B534" s="1">
        <v>425</v>
      </c>
      <c r="C534" s="3" t="s">
        <v>49</v>
      </c>
      <c r="D534" s="5" t="s">
        <v>23</v>
      </c>
      <c r="E534" s="10">
        <v>1.52</v>
      </c>
      <c r="F534" s="10">
        <v>7.94</v>
      </c>
      <c r="G534" s="10">
        <v>5.93</v>
      </c>
      <c r="H534" s="10">
        <v>2.0099999999999998</v>
      </c>
      <c r="I534" s="8">
        <f t="shared" si="28"/>
        <v>3.1730945399999992</v>
      </c>
      <c r="K534" s="8">
        <f t="shared" si="27"/>
        <v>11.067746551800935</v>
      </c>
      <c r="L534" s="8">
        <f t="shared" si="29"/>
        <v>5.5338732759004676</v>
      </c>
    </row>
    <row r="535" spans="1:12" x14ac:dyDescent="0.25">
      <c r="A535" s="1">
        <v>534</v>
      </c>
      <c r="B535" s="1">
        <v>426</v>
      </c>
      <c r="C535" s="3" t="s">
        <v>49</v>
      </c>
      <c r="D535" s="5" t="s">
        <v>23</v>
      </c>
      <c r="E535" s="10">
        <v>2.02</v>
      </c>
      <c r="F535" s="10">
        <v>9.4700000000000006</v>
      </c>
      <c r="G535" s="10">
        <v>4.82</v>
      </c>
      <c r="H535" s="10">
        <v>2</v>
      </c>
      <c r="I535" s="8">
        <f t="shared" si="28"/>
        <v>3.1415999999999999</v>
      </c>
      <c r="K535" s="8">
        <f t="shared" si="27"/>
        <v>7.2165297945497864</v>
      </c>
      <c r="L535" s="8">
        <f t="shared" si="29"/>
        <v>3.6082648972748932</v>
      </c>
    </row>
    <row r="536" spans="1:12" x14ac:dyDescent="0.25">
      <c r="A536" s="1">
        <v>535</v>
      </c>
      <c r="B536" s="1">
        <v>427</v>
      </c>
      <c r="C536" s="3" t="s">
        <v>49</v>
      </c>
      <c r="D536" s="5" t="s">
        <v>23</v>
      </c>
      <c r="E536" s="10">
        <v>1.36</v>
      </c>
      <c r="F536" s="10">
        <v>7.78</v>
      </c>
      <c r="G536" s="10">
        <f>F536-2</f>
        <v>5.78</v>
      </c>
      <c r="H536" s="10">
        <v>2.02</v>
      </c>
      <c r="I536" s="8">
        <f t="shared" si="28"/>
        <v>3.20474616</v>
      </c>
      <c r="K536" s="8">
        <f t="shared" si="27"/>
        <v>10.49781560760105</v>
      </c>
      <c r="L536" s="8">
        <f t="shared" si="29"/>
        <v>5.2489078038005248</v>
      </c>
    </row>
    <row r="537" spans="1:12" x14ac:dyDescent="0.25">
      <c r="A537" s="1">
        <v>536</v>
      </c>
      <c r="B537" s="1">
        <v>428</v>
      </c>
      <c r="C537" s="3" t="s">
        <v>49</v>
      </c>
      <c r="D537" s="5" t="s">
        <v>23</v>
      </c>
      <c r="E537" s="10">
        <v>2.1</v>
      </c>
      <c r="F537" s="10">
        <v>6.92</v>
      </c>
      <c r="G537" s="10">
        <f>F537-2</f>
        <v>4.92</v>
      </c>
      <c r="H537" s="10">
        <v>1.67</v>
      </c>
      <c r="I537" s="8">
        <f t="shared" si="28"/>
        <v>2.1904020599999998</v>
      </c>
      <c r="K537" s="8">
        <f t="shared" si="27"/>
        <v>7.5288879750190141</v>
      </c>
      <c r="L537" s="8">
        <f t="shared" si="29"/>
        <v>3.764443987509507</v>
      </c>
    </row>
    <row r="538" spans="1:12" x14ac:dyDescent="0.25">
      <c r="A538" s="1">
        <v>537</v>
      </c>
      <c r="B538" s="1">
        <v>429</v>
      </c>
      <c r="C538" s="3" t="s">
        <v>49</v>
      </c>
      <c r="D538" s="5" t="s">
        <v>23</v>
      </c>
      <c r="E538" s="10">
        <v>1.35</v>
      </c>
      <c r="F538" s="10">
        <v>11.89</v>
      </c>
      <c r="G538" s="10">
        <v>4.8</v>
      </c>
      <c r="H538" s="10">
        <v>1.83</v>
      </c>
      <c r="I538" s="8">
        <f t="shared" si="28"/>
        <v>2.6302260600000005</v>
      </c>
      <c r="K538" s="8">
        <f t="shared" si="27"/>
        <v>7.1548764523700212</v>
      </c>
      <c r="L538" s="8">
        <f t="shared" si="29"/>
        <v>3.5774382261850106</v>
      </c>
    </row>
    <row r="539" spans="1:12" x14ac:dyDescent="0.25">
      <c r="A539" s="1">
        <v>538</v>
      </c>
      <c r="B539" s="1">
        <v>430</v>
      </c>
      <c r="C539" s="3" t="s">
        <v>49</v>
      </c>
      <c r="D539" s="5" t="s">
        <v>23</v>
      </c>
      <c r="E539" s="10">
        <v>1.96</v>
      </c>
      <c r="F539" s="10">
        <v>7.87</v>
      </c>
      <c r="G539" s="10">
        <f>F539-2</f>
        <v>5.87</v>
      </c>
      <c r="H539" s="10">
        <v>1.91</v>
      </c>
      <c r="I539" s="8">
        <f t="shared" si="28"/>
        <v>2.8652177399999998</v>
      </c>
      <c r="K539" s="8">
        <f t="shared" si="27"/>
        <v>10.837910681324223</v>
      </c>
      <c r="L539" s="8">
        <f t="shared" si="29"/>
        <v>5.4189553406621114</v>
      </c>
    </row>
    <row r="540" spans="1:12" x14ac:dyDescent="0.25">
      <c r="A540" s="1">
        <v>539</v>
      </c>
      <c r="B540" s="1">
        <v>431</v>
      </c>
      <c r="C540" s="3" t="s">
        <v>49</v>
      </c>
      <c r="D540" s="5" t="s">
        <v>23</v>
      </c>
      <c r="E540" s="10">
        <v>1.82</v>
      </c>
      <c r="F540" s="10">
        <v>11.26</v>
      </c>
      <c r="G540" s="10">
        <v>4.3899999999999997</v>
      </c>
      <c r="H540" s="10">
        <v>2.0499999999999998</v>
      </c>
      <c r="I540" s="8">
        <f t="shared" si="28"/>
        <v>3.3006434999999996</v>
      </c>
      <c r="K540" s="8">
        <f t="shared" si="27"/>
        <v>5.9509511208399504</v>
      </c>
      <c r="L540" s="8">
        <f t="shared" si="29"/>
        <v>2.9754755604199752</v>
      </c>
    </row>
    <row r="541" spans="1:12" x14ac:dyDescent="0.25">
      <c r="A541" s="1">
        <v>540</v>
      </c>
      <c r="B541" s="1">
        <v>432</v>
      </c>
      <c r="C541" s="3" t="s">
        <v>49</v>
      </c>
      <c r="D541" s="5" t="s">
        <v>23</v>
      </c>
      <c r="E541" s="10">
        <v>1.81</v>
      </c>
      <c r="F541" s="10">
        <v>6.61</v>
      </c>
      <c r="G541" s="10">
        <f>F541-2</f>
        <v>4.6100000000000003</v>
      </c>
      <c r="H541" s="10">
        <v>1.85</v>
      </c>
      <c r="I541" s="8">
        <f t="shared" si="28"/>
        <v>2.6880315000000001</v>
      </c>
      <c r="K541" s="8">
        <f t="shared" si="27"/>
        <v>6.5827552050437514</v>
      </c>
      <c r="L541" s="8">
        <f t="shared" si="29"/>
        <v>3.2913776025218757</v>
      </c>
    </row>
    <row r="542" spans="1:12" x14ac:dyDescent="0.25">
      <c r="A542" s="1">
        <v>541</v>
      </c>
      <c r="B542" s="1">
        <v>433</v>
      </c>
      <c r="C542" s="3" t="s">
        <v>49</v>
      </c>
      <c r="D542" s="5" t="s">
        <v>23</v>
      </c>
      <c r="E542" s="10">
        <v>1.46</v>
      </c>
      <c r="F542" s="10">
        <v>6.49</v>
      </c>
      <c r="G542" s="10">
        <f>F542-2</f>
        <v>4.49</v>
      </c>
      <c r="H542" s="10">
        <v>1.9</v>
      </c>
      <c r="I542" s="8">
        <f t="shared" si="28"/>
        <v>2.8352939999999998</v>
      </c>
      <c r="K542" s="8">
        <f t="shared" si="27"/>
        <v>6.2340627620766984</v>
      </c>
      <c r="L542" s="8">
        <f t="shared" si="29"/>
        <v>3.1170313810383492</v>
      </c>
    </row>
    <row r="543" spans="1:12" x14ac:dyDescent="0.25">
      <c r="A543" s="1">
        <v>542</v>
      </c>
      <c r="B543" s="1">
        <v>434</v>
      </c>
      <c r="C543" s="3" t="s">
        <v>49</v>
      </c>
      <c r="D543" s="5" t="s">
        <v>23</v>
      </c>
      <c r="E543" s="10">
        <v>2.2999999999999998</v>
      </c>
      <c r="F543" s="10">
        <v>5.22</v>
      </c>
      <c r="G543" s="10">
        <f>F543-2</f>
        <v>3.2199999999999998</v>
      </c>
      <c r="H543" s="10">
        <v>2.02</v>
      </c>
      <c r="I543" s="8">
        <f t="shared" si="28"/>
        <v>3.20474616</v>
      </c>
      <c r="K543" s="8">
        <f t="shared" si="27"/>
        <v>3.1392177176505425</v>
      </c>
      <c r="L543" s="8">
        <f t="shared" si="29"/>
        <v>1.5696088588252712</v>
      </c>
    </row>
    <row r="544" spans="1:12" x14ac:dyDescent="0.25">
      <c r="A544" s="1">
        <v>543</v>
      </c>
      <c r="B544" s="1">
        <v>435</v>
      </c>
      <c r="C544" s="3" t="s">
        <v>49</v>
      </c>
      <c r="D544" s="5" t="s">
        <v>23</v>
      </c>
      <c r="E544" s="10">
        <v>1.96</v>
      </c>
      <c r="F544" s="10">
        <v>9.56</v>
      </c>
      <c r="G544" s="10">
        <v>7.26</v>
      </c>
      <c r="H544" s="10">
        <v>1.82</v>
      </c>
      <c r="I544" s="8">
        <f t="shared" si="28"/>
        <v>2.6015589600000002</v>
      </c>
      <c r="K544" s="8">
        <f t="shared" si="27"/>
        <v>16.803647496573323</v>
      </c>
      <c r="L544" s="8">
        <f t="shared" si="29"/>
        <v>8.4018237482866613</v>
      </c>
    </row>
    <row r="545" spans="1:12" x14ac:dyDescent="0.25">
      <c r="A545" s="1">
        <v>544</v>
      </c>
      <c r="B545" s="1">
        <v>436</v>
      </c>
      <c r="C545" s="3" t="s">
        <v>49</v>
      </c>
      <c r="D545" s="5" t="s">
        <v>23</v>
      </c>
      <c r="E545" s="10">
        <v>1.32</v>
      </c>
      <c r="F545" s="10">
        <v>7.58</v>
      </c>
      <c r="G545" s="10">
        <v>5.45</v>
      </c>
      <c r="H545" s="10">
        <v>1.74</v>
      </c>
      <c r="I545" s="8">
        <f t="shared" si="28"/>
        <v>2.37787704</v>
      </c>
      <c r="K545" s="8">
        <f t="shared" si="27"/>
        <v>9.298545661359503</v>
      </c>
      <c r="L545" s="8">
        <f t="shared" si="29"/>
        <v>4.6492728306797515</v>
      </c>
    </row>
    <row r="546" spans="1:12" x14ac:dyDescent="0.25">
      <c r="A546" s="1">
        <v>545</v>
      </c>
      <c r="B546" s="1">
        <v>437</v>
      </c>
      <c r="C546" s="3" t="s">
        <v>49</v>
      </c>
      <c r="D546" s="5" t="s">
        <v>23</v>
      </c>
      <c r="E546" s="10">
        <v>1.1200000000000001</v>
      </c>
      <c r="F546" s="10">
        <v>11.05</v>
      </c>
      <c r="G546" s="10">
        <v>3.8</v>
      </c>
      <c r="H546" s="10">
        <v>2.08</v>
      </c>
      <c r="I546" s="8">
        <f t="shared" si="28"/>
        <v>3.3979545600000005</v>
      </c>
      <c r="K546" s="8">
        <f t="shared" si="27"/>
        <v>4.4181890729503657</v>
      </c>
      <c r="L546" s="8">
        <f t="shared" si="29"/>
        <v>2.2090945364751828</v>
      </c>
    </row>
    <row r="547" spans="1:12" x14ac:dyDescent="0.25">
      <c r="A547" s="1">
        <v>546</v>
      </c>
      <c r="B547" s="1">
        <v>438</v>
      </c>
      <c r="C547" s="3" t="s">
        <v>49</v>
      </c>
      <c r="D547" s="5" t="s">
        <v>23</v>
      </c>
      <c r="E547" s="10">
        <v>1.34</v>
      </c>
      <c r="F547" s="10">
        <v>8.31</v>
      </c>
      <c r="G547" s="10">
        <v>4.0599999999999996</v>
      </c>
      <c r="H547" s="10">
        <v>1.86</v>
      </c>
      <c r="I547" s="8">
        <f t="shared" si="28"/>
        <v>2.7171698400000004</v>
      </c>
      <c r="K547" s="8">
        <f t="shared" si="27"/>
        <v>5.0647068831623638</v>
      </c>
      <c r="L547" s="8">
        <f t="shared" si="29"/>
        <v>2.5323534415811819</v>
      </c>
    </row>
    <row r="548" spans="1:12" x14ac:dyDescent="0.25">
      <c r="A548" s="1">
        <v>547</v>
      </c>
      <c r="B548" s="1">
        <v>439</v>
      </c>
      <c r="C548" s="3" t="s">
        <v>49</v>
      </c>
      <c r="D548" s="5" t="s">
        <v>23</v>
      </c>
      <c r="E548" s="10">
        <v>1.25</v>
      </c>
      <c r="F548" s="10">
        <v>11.78</v>
      </c>
      <c r="G548" s="10">
        <v>4.58</v>
      </c>
      <c r="H548" s="10">
        <v>2</v>
      </c>
      <c r="I548" s="8">
        <f t="shared" si="28"/>
        <v>3.1415999999999999</v>
      </c>
      <c r="K548" s="8">
        <f t="shared" si="27"/>
        <v>6.494665070845147</v>
      </c>
      <c r="L548" s="8">
        <f t="shared" si="29"/>
        <v>3.2473325354225735</v>
      </c>
    </row>
    <row r="549" spans="1:12" x14ac:dyDescent="0.25">
      <c r="A549" s="1">
        <v>548</v>
      </c>
      <c r="B549" s="1">
        <v>440</v>
      </c>
      <c r="C549" s="3" t="s">
        <v>49</v>
      </c>
      <c r="D549" s="5" t="s">
        <v>23</v>
      </c>
      <c r="E549" s="10">
        <v>1.1399999999999999</v>
      </c>
      <c r="F549" s="10">
        <v>6.3</v>
      </c>
      <c r="G549" s="10">
        <v>4.76</v>
      </c>
      <c r="H549" s="10">
        <v>2.09</v>
      </c>
      <c r="I549" s="8">
        <f t="shared" si="28"/>
        <v>3.4307057399999992</v>
      </c>
      <c r="K549" s="8">
        <f t="shared" si="27"/>
        <v>7.0323874877116053</v>
      </c>
      <c r="L549" s="8">
        <f t="shared" si="29"/>
        <v>3.5161937438558026</v>
      </c>
    </row>
    <row r="550" spans="1:12" x14ac:dyDescent="0.25">
      <c r="A550" s="1">
        <v>549</v>
      </c>
      <c r="B550" s="1">
        <v>441</v>
      </c>
      <c r="C550" s="3" t="s">
        <v>49</v>
      </c>
      <c r="D550" s="5" t="s">
        <v>23</v>
      </c>
      <c r="E550" s="10">
        <v>2.35</v>
      </c>
      <c r="F550" s="10">
        <v>11.08</v>
      </c>
      <c r="G550" s="10">
        <v>8.9499999999999993</v>
      </c>
      <c r="H550" s="10">
        <v>2.0299999999999998</v>
      </c>
      <c r="I550" s="8">
        <f t="shared" si="28"/>
        <v>3.2365548599999991</v>
      </c>
      <c r="K550" s="8">
        <f t="shared" si="27"/>
        <v>25.879011226164575</v>
      </c>
      <c r="L550" s="8">
        <f t="shared" si="29"/>
        <v>12.939505613082288</v>
      </c>
    </row>
    <row r="551" spans="1:12" x14ac:dyDescent="0.25">
      <c r="A551" s="1">
        <v>550</v>
      </c>
      <c r="B551" s="1">
        <v>442</v>
      </c>
      <c r="C551" s="3" t="s">
        <v>49</v>
      </c>
      <c r="D551" s="5" t="s">
        <v>23</v>
      </c>
      <c r="E551" s="10">
        <v>1.78</v>
      </c>
      <c r="F551" s="10">
        <v>10.44</v>
      </c>
      <c r="G551" s="10">
        <v>6.93</v>
      </c>
      <c r="H551" s="10">
        <v>1.76</v>
      </c>
      <c r="I551" s="8">
        <f t="shared" si="28"/>
        <v>2.4328550399999997</v>
      </c>
      <c r="K551" s="8">
        <f t="shared" si="27"/>
        <v>15.265599884849191</v>
      </c>
      <c r="L551" s="8">
        <f t="shared" si="29"/>
        <v>7.6327999424245956</v>
      </c>
    </row>
    <row r="552" spans="1:12" x14ac:dyDescent="0.25">
      <c r="A552" s="1">
        <v>551</v>
      </c>
      <c r="B552" s="1">
        <v>443</v>
      </c>
      <c r="C552" s="3" t="s">
        <v>49</v>
      </c>
      <c r="D552" s="5" t="s">
        <v>23</v>
      </c>
      <c r="E552" s="10">
        <v>1.83</v>
      </c>
      <c r="F552" s="10">
        <v>10.4</v>
      </c>
      <c r="G552" s="10">
        <v>6.66</v>
      </c>
      <c r="H552" s="10">
        <v>1.78</v>
      </c>
      <c r="I552" s="8">
        <f t="shared" si="28"/>
        <v>2.4884613600000001</v>
      </c>
      <c r="K552" s="8">
        <f t="shared" si="27"/>
        <v>14.063710486555756</v>
      </c>
      <c r="L552" s="8">
        <f t="shared" si="29"/>
        <v>7.031855243277878</v>
      </c>
    </row>
    <row r="553" spans="1:12" x14ac:dyDescent="0.25">
      <c r="A553" s="1">
        <v>552</v>
      </c>
      <c r="B553" s="1">
        <v>444</v>
      </c>
      <c r="C553" s="3" t="s">
        <v>49</v>
      </c>
      <c r="D553" s="5" t="s">
        <v>23</v>
      </c>
      <c r="E553" s="10">
        <v>2.0699999999999998</v>
      </c>
      <c r="F553" s="10">
        <v>10.91</v>
      </c>
      <c r="G553" s="10">
        <v>3.8</v>
      </c>
      <c r="H553" s="10">
        <v>1.89</v>
      </c>
      <c r="I553" s="8">
        <f t="shared" si="28"/>
        <v>2.8055273399999998</v>
      </c>
      <c r="K553" s="8">
        <f t="shared" si="27"/>
        <v>4.4181890729503657</v>
      </c>
      <c r="L553" s="8">
        <f t="shared" si="29"/>
        <v>2.2090945364751828</v>
      </c>
    </row>
    <row r="554" spans="1:12" x14ac:dyDescent="0.25">
      <c r="A554" s="1">
        <v>553</v>
      </c>
      <c r="B554" s="1">
        <v>445</v>
      </c>
      <c r="C554" s="3" t="s">
        <v>49</v>
      </c>
      <c r="D554" s="5" t="s">
        <v>23</v>
      </c>
      <c r="E554" s="10">
        <v>2.2400000000000002</v>
      </c>
      <c r="F554" s="10">
        <v>10.33</v>
      </c>
      <c r="G554" s="10">
        <v>9.02</v>
      </c>
      <c r="H554" s="10">
        <v>1.89</v>
      </c>
      <c r="I554" s="8">
        <f t="shared" si="28"/>
        <v>2.8055273399999998</v>
      </c>
      <c r="K554" s="8">
        <f t="shared" si="27"/>
        <v>26.298412661681819</v>
      </c>
      <c r="L554" s="8">
        <f t="shared" si="29"/>
        <v>13.14920633084091</v>
      </c>
    </row>
    <row r="555" spans="1:12" x14ac:dyDescent="0.25">
      <c r="A555" s="1">
        <v>554</v>
      </c>
      <c r="B555" s="1">
        <v>446</v>
      </c>
      <c r="C555" s="3" t="s">
        <v>49</v>
      </c>
      <c r="D555" s="5" t="s">
        <v>23</v>
      </c>
      <c r="E555" s="10">
        <v>1.63</v>
      </c>
      <c r="F555" s="10">
        <v>9.3800000000000008</v>
      </c>
      <c r="G555" s="10">
        <v>8.06</v>
      </c>
      <c r="H555" s="10">
        <v>1.7</v>
      </c>
      <c r="I555" s="8">
        <f t="shared" si="28"/>
        <v>2.2698059999999995</v>
      </c>
      <c r="K555" s="8">
        <f t="shared" si="27"/>
        <v>20.848902788478966</v>
      </c>
      <c r="L555" s="8">
        <f t="shared" si="29"/>
        <v>10.424451394239483</v>
      </c>
    </row>
    <row r="556" spans="1:12" x14ac:dyDescent="0.25">
      <c r="A556" s="1">
        <v>555</v>
      </c>
      <c r="B556" s="1">
        <v>447</v>
      </c>
      <c r="C556" s="3" t="s">
        <v>49</v>
      </c>
      <c r="D556" s="5" t="s">
        <v>23</v>
      </c>
      <c r="E556" s="10">
        <v>2.25</v>
      </c>
      <c r="F556" s="10">
        <v>5.92</v>
      </c>
      <c r="G556" s="10">
        <v>3.47</v>
      </c>
      <c r="H556" s="10">
        <v>1.81</v>
      </c>
      <c r="I556" s="8">
        <f t="shared" si="28"/>
        <v>2.5730489400000001</v>
      </c>
      <c r="K556" s="8">
        <f t="shared" si="27"/>
        <v>3.6629476918821671</v>
      </c>
      <c r="L556" s="8">
        <f t="shared" si="29"/>
        <v>1.8314738459410835</v>
      </c>
    </row>
    <row r="557" spans="1:12" x14ac:dyDescent="0.25">
      <c r="A557" s="1">
        <v>556</v>
      </c>
      <c r="B557" s="1">
        <v>448</v>
      </c>
      <c r="C557" s="3" t="s">
        <v>49</v>
      </c>
      <c r="D557" s="5" t="s">
        <v>23</v>
      </c>
      <c r="E557" s="10">
        <v>1.88</v>
      </c>
      <c r="F557" s="10">
        <v>5.23</v>
      </c>
      <c r="G557" s="10">
        <f>F557-2</f>
        <v>3.2300000000000004</v>
      </c>
      <c r="H557" s="10">
        <v>1.84</v>
      </c>
      <c r="I557" s="8">
        <f t="shared" si="28"/>
        <v>2.65905024</v>
      </c>
      <c r="K557" s="8">
        <f t="shared" si="27"/>
        <v>3.1593682575444899</v>
      </c>
      <c r="L557" s="8">
        <f t="shared" si="29"/>
        <v>1.579684128772245</v>
      </c>
    </row>
    <row r="558" spans="1:12" x14ac:dyDescent="0.25">
      <c r="A558" s="1">
        <v>557</v>
      </c>
      <c r="B558" s="1">
        <v>449</v>
      </c>
      <c r="C558" s="3" t="s">
        <v>49</v>
      </c>
      <c r="D558" s="5" t="s">
        <v>23</v>
      </c>
      <c r="E558" s="10">
        <v>1.5</v>
      </c>
      <c r="F558" s="10">
        <v>11.45</v>
      </c>
      <c r="G558" s="10">
        <v>6.8</v>
      </c>
      <c r="H558" s="10">
        <v>1.67</v>
      </c>
      <c r="I558" s="8">
        <f t="shared" si="28"/>
        <v>2.1904020599999998</v>
      </c>
      <c r="K558" s="8">
        <f t="shared" si="27"/>
        <v>14.680572325367066</v>
      </c>
      <c r="L558" s="8">
        <f t="shared" si="29"/>
        <v>7.3402861626835332</v>
      </c>
    </row>
    <row r="559" spans="1:12" x14ac:dyDescent="0.25">
      <c r="A559" s="1">
        <v>558</v>
      </c>
      <c r="B559" s="1">
        <v>450</v>
      </c>
      <c r="C559" s="3" t="s">
        <v>49</v>
      </c>
      <c r="D559" s="5" t="s">
        <v>23</v>
      </c>
      <c r="E559" s="10">
        <v>2.06</v>
      </c>
      <c r="F559" s="10">
        <v>9.32</v>
      </c>
      <c r="G559" s="10">
        <v>3.57</v>
      </c>
      <c r="H559" s="10">
        <v>1.75</v>
      </c>
      <c r="I559" s="8">
        <f t="shared" si="28"/>
        <v>2.4052875</v>
      </c>
      <c r="K559" s="8">
        <f t="shared" ref="K559:K622" si="30">0.2811*G559^2.0635</f>
        <v>3.8841116876459334</v>
      </c>
      <c r="L559" s="8">
        <f t="shared" si="29"/>
        <v>1.9420558438229667</v>
      </c>
    </row>
    <row r="560" spans="1:12" x14ac:dyDescent="0.25">
      <c r="A560" s="1">
        <v>559</v>
      </c>
      <c r="B560" s="1">
        <v>451</v>
      </c>
      <c r="C560" s="3" t="s">
        <v>49</v>
      </c>
      <c r="D560" s="5" t="s">
        <v>23</v>
      </c>
      <c r="E560" s="10">
        <v>1.37</v>
      </c>
      <c r="F560" s="10">
        <v>10.58</v>
      </c>
      <c r="G560" s="10">
        <v>6.21</v>
      </c>
      <c r="H560" s="10">
        <v>1.79</v>
      </c>
      <c r="I560" s="8">
        <f t="shared" si="28"/>
        <v>2.5165001399999998</v>
      </c>
      <c r="K560" s="8">
        <f t="shared" si="30"/>
        <v>12.173216964796378</v>
      </c>
      <c r="L560" s="8">
        <f t="shared" si="29"/>
        <v>6.086608482398189</v>
      </c>
    </row>
    <row r="561" spans="1:12" x14ac:dyDescent="0.25">
      <c r="A561" s="1">
        <v>560</v>
      </c>
      <c r="B561" s="1">
        <v>452</v>
      </c>
      <c r="C561" s="3" t="s">
        <v>49</v>
      </c>
      <c r="D561" s="5" t="s">
        <v>23</v>
      </c>
      <c r="E561" s="10">
        <v>1.18</v>
      </c>
      <c r="F561" s="10">
        <v>8.3699999999999992</v>
      </c>
      <c r="G561" s="10">
        <v>6.39</v>
      </c>
      <c r="H561" s="10">
        <v>1.92</v>
      </c>
      <c r="I561" s="8">
        <f t="shared" si="28"/>
        <v>2.8952985600000001</v>
      </c>
      <c r="K561" s="8">
        <f t="shared" si="30"/>
        <v>12.912545546421748</v>
      </c>
      <c r="L561" s="8">
        <f t="shared" si="29"/>
        <v>6.4562727732108742</v>
      </c>
    </row>
    <row r="562" spans="1:12" x14ac:dyDescent="0.25">
      <c r="A562" s="1">
        <v>561</v>
      </c>
      <c r="B562" s="1">
        <v>453</v>
      </c>
      <c r="C562" s="3" t="s">
        <v>49</v>
      </c>
      <c r="D562" s="5" t="s">
        <v>23</v>
      </c>
      <c r="E562" s="10">
        <v>1.45</v>
      </c>
      <c r="F562" s="10">
        <v>5.82</v>
      </c>
      <c r="G562" s="10">
        <v>4.16</v>
      </c>
      <c r="H562" s="10">
        <v>1.88</v>
      </c>
      <c r="I562" s="8">
        <f t="shared" si="28"/>
        <v>2.7759177599999996</v>
      </c>
      <c r="K562" s="8">
        <f t="shared" si="30"/>
        <v>5.3254944124454946</v>
      </c>
      <c r="L562" s="8">
        <f t="shared" si="29"/>
        <v>2.6627472062227473</v>
      </c>
    </row>
    <row r="563" spans="1:12" x14ac:dyDescent="0.25">
      <c r="A563" s="1">
        <v>562</v>
      </c>
      <c r="B563" s="1">
        <v>454</v>
      </c>
      <c r="C563" s="3" t="s">
        <v>49</v>
      </c>
      <c r="D563" s="5" t="s">
        <v>23</v>
      </c>
      <c r="E563" s="10">
        <v>1.22</v>
      </c>
      <c r="F563" s="10">
        <v>5.88</v>
      </c>
      <c r="G563" s="10">
        <f>F563-2</f>
        <v>3.88</v>
      </c>
      <c r="H563" s="10">
        <v>2.09</v>
      </c>
      <c r="I563" s="8">
        <f t="shared" si="28"/>
        <v>3.4307057399999992</v>
      </c>
      <c r="K563" s="8">
        <f t="shared" si="30"/>
        <v>4.6122741272078143</v>
      </c>
      <c r="L563" s="8">
        <f t="shared" si="29"/>
        <v>2.3061370636039071</v>
      </c>
    </row>
    <row r="564" spans="1:12" x14ac:dyDescent="0.25">
      <c r="A564" s="1">
        <v>563</v>
      </c>
      <c r="B564" s="1">
        <v>455</v>
      </c>
      <c r="C564" s="3" t="s">
        <v>49</v>
      </c>
      <c r="D564" s="5" t="s">
        <v>23</v>
      </c>
      <c r="E564" s="10">
        <v>2.15</v>
      </c>
      <c r="F564" s="10">
        <v>9.8000000000000007</v>
      </c>
      <c r="G564" s="10">
        <v>8.9499999999999993</v>
      </c>
      <c r="H564" s="10">
        <v>2.08</v>
      </c>
      <c r="I564" s="8">
        <f t="shared" si="28"/>
        <v>3.3979545600000005</v>
      </c>
      <c r="K564" s="8">
        <f t="shared" si="30"/>
        <v>25.879011226164575</v>
      </c>
      <c r="L564" s="8">
        <f t="shared" si="29"/>
        <v>12.939505613082288</v>
      </c>
    </row>
    <row r="565" spans="1:12" x14ac:dyDescent="0.25">
      <c r="A565" s="1">
        <v>564</v>
      </c>
      <c r="B565" s="1">
        <v>456</v>
      </c>
      <c r="C565" s="3" t="s">
        <v>49</v>
      </c>
      <c r="D565" s="5" t="s">
        <v>23</v>
      </c>
      <c r="E565" s="10">
        <v>1.8</v>
      </c>
      <c r="F565" s="10">
        <v>8.01</v>
      </c>
      <c r="G565" s="10">
        <v>7.68</v>
      </c>
      <c r="H565" s="10">
        <v>1.69</v>
      </c>
      <c r="I565" s="8">
        <f t="shared" si="28"/>
        <v>2.2431809399999998</v>
      </c>
      <c r="K565" s="8">
        <f t="shared" si="30"/>
        <v>18.871382752055279</v>
      </c>
      <c r="L565" s="8">
        <f t="shared" si="29"/>
        <v>9.4356913760276395</v>
      </c>
    </row>
    <row r="566" spans="1:12" x14ac:dyDescent="0.25">
      <c r="A566" s="1">
        <v>565</v>
      </c>
      <c r="B566" s="1">
        <v>457</v>
      </c>
      <c r="C566" s="3" t="s">
        <v>49</v>
      </c>
      <c r="D566" s="5" t="s">
        <v>23</v>
      </c>
      <c r="E566" s="10">
        <v>1.98</v>
      </c>
      <c r="F566" s="10">
        <v>6.4</v>
      </c>
      <c r="G566" s="10">
        <f>F566-2</f>
        <v>4.4000000000000004</v>
      </c>
      <c r="H566" s="10">
        <v>1.8</v>
      </c>
      <c r="I566" s="8">
        <f t="shared" si="28"/>
        <v>2.5446960000000001</v>
      </c>
      <c r="K566" s="8">
        <f t="shared" si="30"/>
        <v>5.9789571859016917</v>
      </c>
      <c r="L566" s="8">
        <f t="shared" si="29"/>
        <v>2.9894785929508458</v>
      </c>
    </row>
    <row r="567" spans="1:12" x14ac:dyDescent="0.25">
      <c r="A567" s="1">
        <v>566</v>
      </c>
      <c r="B567" s="1">
        <v>458</v>
      </c>
      <c r="C567" s="3" t="s">
        <v>49</v>
      </c>
      <c r="D567" s="5" t="s">
        <v>23</v>
      </c>
      <c r="E567" s="10">
        <v>2.06</v>
      </c>
      <c r="F567" s="10">
        <v>8.44</v>
      </c>
      <c r="G567" s="10">
        <v>5.88</v>
      </c>
      <c r="H567" s="10">
        <v>1.76</v>
      </c>
      <c r="I567" s="8">
        <f t="shared" si="28"/>
        <v>2.4328550399999997</v>
      </c>
      <c r="K567" s="8">
        <f t="shared" si="30"/>
        <v>10.876044051831922</v>
      </c>
      <c r="L567" s="8">
        <f t="shared" si="29"/>
        <v>5.4380220259159611</v>
      </c>
    </row>
    <row r="568" spans="1:12" x14ac:dyDescent="0.25">
      <c r="A568" s="1">
        <v>567</v>
      </c>
      <c r="B568" s="1">
        <v>459</v>
      </c>
      <c r="C568" s="3" t="s">
        <v>49</v>
      </c>
      <c r="D568" s="5" t="s">
        <v>23</v>
      </c>
      <c r="E568" s="10">
        <v>2.39</v>
      </c>
      <c r="F568" s="10">
        <v>5.45</v>
      </c>
      <c r="G568" s="10">
        <f>F568-2</f>
        <v>3.45</v>
      </c>
      <c r="H568" s="10">
        <v>1.97</v>
      </c>
      <c r="I568" s="8">
        <f t="shared" si="28"/>
        <v>3.0480588599999998</v>
      </c>
      <c r="K568" s="8">
        <f t="shared" si="30"/>
        <v>3.6195163961443777</v>
      </c>
      <c r="L568" s="8">
        <f t="shared" si="29"/>
        <v>1.8097581980721889</v>
      </c>
    </row>
    <row r="569" spans="1:12" x14ac:dyDescent="0.25">
      <c r="A569" s="1">
        <v>568</v>
      </c>
      <c r="B569" s="1">
        <v>460</v>
      </c>
      <c r="C569" s="3" t="s">
        <v>49</v>
      </c>
      <c r="D569" s="5" t="s">
        <v>23</v>
      </c>
      <c r="E569" s="10">
        <v>1.72</v>
      </c>
      <c r="F569" s="10">
        <v>9.07</v>
      </c>
      <c r="G569" s="10">
        <v>6.82</v>
      </c>
      <c r="H569" s="10">
        <v>2</v>
      </c>
      <c r="I569" s="8">
        <f t="shared" si="28"/>
        <v>3.1415999999999999</v>
      </c>
      <c r="K569" s="8">
        <f t="shared" si="30"/>
        <v>14.769809801444969</v>
      </c>
      <c r="L569" s="8">
        <f t="shared" si="29"/>
        <v>7.3849049007224847</v>
      </c>
    </row>
    <row r="570" spans="1:12" x14ac:dyDescent="0.25">
      <c r="A570" s="1">
        <v>569</v>
      </c>
      <c r="B570" s="1">
        <v>461</v>
      </c>
      <c r="C570" s="3" t="s">
        <v>49</v>
      </c>
      <c r="D570" s="5" t="s">
        <v>23</v>
      </c>
      <c r="E570" s="10">
        <v>1.99</v>
      </c>
      <c r="F570" s="10">
        <v>6.88</v>
      </c>
      <c r="G570" s="10">
        <v>3.44</v>
      </c>
      <c r="H570" s="10">
        <v>1.74</v>
      </c>
      <c r="I570" s="8">
        <f t="shared" si="28"/>
        <v>2.37787704</v>
      </c>
      <c r="K570" s="8">
        <f t="shared" si="30"/>
        <v>3.5979008570568758</v>
      </c>
      <c r="L570" s="8">
        <f t="shared" si="29"/>
        <v>1.7989504285284379</v>
      </c>
    </row>
    <row r="571" spans="1:12" x14ac:dyDescent="0.25">
      <c r="A571" s="1">
        <v>570</v>
      </c>
      <c r="B571" s="1">
        <v>462</v>
      </c>
      <c r="C571" s="3" t="s">
        <v>49</v>
      </c>
      <c r="D571" s="5" t="s">
        <v>23</v>
      </c>
      <c r="E571" s="10">
        <v>2.39</v>
      </c>
      <c r="F571" s="10">
        <v>10.58</v>
      </c>
      <c r="G571" s="10">
        <v>6.59</v>
      </c>
      <c r="H571" s="10">
        <v>1.93</v>
      </c>
      <c r="I571" s="8">
        <f t="shared" si="28"/>
        <v>2.92553646</v>
      </c>
      <c r="K571" s="8">
        <f t="shared" si="30"/>
        <v>13.760394932592229</v>
      </c>
      <c r="L571" s="8">
        <f t="shared" si="29"/>
        <v>6.8801974662961145</v>
      </c>
    </row>
    <row r="572" spans="1:12" x14ac:dyDescent="0.25">
      <c r="A572" s="1">
        <v>571</v>
      </c>
      <c r="B572" s="1">
        <v>463</v>
      </c>
      <c r="C572" s="3" t="s">
        <v>49</v>
      </c>
      <c r="D572" s="5" t="s">
        <v>23</v>
      </c>
      <c r="E572" s="10">
        <v>2.1</v>
      </c>
      <c r="F572" s="10">
        <v>7.17</v>
      </c>
      <c r="G572" s="10">
        <f>F572-2</f>
        <v>5.17</v>
      </c>
      <c r="H572" s="10">
        <v>1.82</v>
      </c>
      <c r="I572" s="8">
        <f t="shared" si="28"/>
        <v>2.6015589600000002</v>
      </c>
      <c r="K572" s="8">
        <f t="shared" si="30"/>
        <v>8.3396645329276389</v>
      </c>
      <c r="L572" s="8">
        <f t="shared" si="29"/>
        <v>4.1698322664638194</v>
      </c>
    </row>
    <row r="573" spans="1:12" x14ac:dyDescent="0.25">
      <c r="A573" s="1">
        <v>572</v>
      </c>
      <c r="B573" s="1">
        <v>464</v>
      </c>
      <c r="C573" s="3" t="s">
        <v>49</v>
      </c>
      <c r="D573" s="5" t="s">
        <v>23</v>
      </c>
      <c r="E573" s="10">
        <v>1.26</v>
      </c>
      <c r="F573" s="10">
        <v>8.19</v>
      </c>
      <c r="G573" s="10">
        <v>6.21</v>
      </c>
      <c r="H573" s="10">
        <v>2.0299999999999998</v>
      </c>
      <c r="I573" s="8">
        <f t="shared" si="28"/>
        <v>3.2365548599999991</v>
      </c>
      <c r="K573" s="8">
        <f t="shared" si="30"/>
        <v>12.173216964796378</v>
      </c>
      <c r="L573" s="8">
        <f t="shared" si="29"/>
        <v>6.086608482398189</v>
      </c>
    </row>
    <row r="574" spans="1:12" x14ac:dyDescent="0.25">
      <c r="A574" s="1">
        <v>573</v>
      </c>
      <c r="B574" s="1">
        <v>465</v>
      </c>
      <c r="C574" s="3" t="s">
        <v>49</v>
      </c>
      <c r="D574" s="5" t="s">
        <v>23</v>
      </c>
      <c r="E574" s="10">
        <v>1.6</v>
      </c>
      <c r="F574" s="10">
        <v>5.08</v>
      </c>
      <c r="G574" s="10">
        <v>3.36</v>
      </c>
      <c r="H574" s="10">
        <v>1.84</v>
      </c>
      <c r="I574" s="8">
        <f t="shared" si="28"/>
        <v>2.65905024</v>
      </c>
      <c r="K574" s="8">
        <f t="shared" si="30"/>
        <v>3.4273775248412366</v>
      </c>
      <c r="L574" s="8">
        <f t="shared" si="29"/>
        <v>1.7136887624206183</v>
      </c>
    </row>
    <row r="575" spans="1:12" x14ac:dyDescent="0.25">
      <c r="A575" s="1">
        <v>574</v>
      </c>
      <c r="B575" s="1">
        <v>466</v>
      </c>
      <c r="C575" s="3" t="s">
        <v>49</v>
      </c>
      <c r="D575" s="5" t="s">
        <v>23</v>
      </c>
      <c r="E575" s="10">
        <v>1.43</v>
      </c>
      <c r="F575" s="10">
        <v>5.51</v>
      </c>
      <c r="G575" s="10">
        <f>F575-2</f>
        <v>3.51</v>
      </c>
      <c r="H575" s="10">
        <v>1.76</v>
      </c>
      <c r="I575" s="8">
        <f t="shared" si="28"/>
        <v>2.4328550399999997</v>
      </c>
      <c r="K575" s="8">
        <f t="shared" si="30"/>
        <v>3.7506114959143617</v>
      </c>
      <c r="L575" s="8">
        <f t="shared" si="29"/>
        <v>1.8753057479571809</v>
      </c>
    </row>
    <row r="576" spans="1:12" x14ac:dyDescent="0.25">
      <c r="A576" s="1">
        <v>575</v>
      </c>
      <c r="B576" s="1">
        <v>467</v>
      </c>
      <c r="C576" s="3" t="s">
        <v>49</v>
      </c>
      <c r="D576" s="5" t="s">
        <v>23</v>
      </c>
      <c r="E576" s="10">
        <v>2.0299999999999998</v>
      </c>
      <c r="F576" s="10">
        <v>7.75</v>
      </c>
      <c r="G576" s="10">
        <v>4.41</v>
      </c>
      <c r="H576" s="10">
        <v>1.87</v>
      </c>
      <c r="I576" s="8">
        <f t="shared" si="28"/>
        <v>2.7464652600000004</v>
      </c>
      <c r="K576" s="8">
        <f t="shared" si="30"/>
        <v>6.0070310247962313</v>
      </c>
      <c r="L576" s="8">
        <f t="shared" si="29"/>
        <v>3.0035155123981156</v>
      </c>
    </row>
    <row r="577" spans="1:12" x14ac:dyDescent="0.25">
      <c r="A577" s="1">
        <v>576</v>
      </c>
      <c r="B577" s="1">
        <v>468</v>
      </c>
      <c r="C577" s="3" t="s">
        <v>49</v>
      </c>
      <c r="D577" s="5" t="s">
        <v>23</v>
      </c>
      <c r="E577" s="10">
        <v>1.68</v>
      </c>
      <c r="F577" s="10">
        <v>8.36</v>
      </c>
      <c r="G577" s="10">
        <v>4.8099999999999996</v>
      </c>
      <c r="H577" s="10">
        <v>1.8</v>
      </c>
      <c r="I577" s="8">
        <f t="shared" si="28"/>
        <v>2.5446960000000001</v>
      </c>
      <c r="K577" s="8">
        <f t="shared" si="30"/>
        <v>7.185669044288999</v>
      </c>
      <c r="L577" s="8">
        <f t="shared" si="29"/>
        <v>3.5928345221444995</v>
      </c>
    </row>
    <row r="578" spans="1:12" x14ac:dyDescent="0.25">
      <c r="A578" s="1">
        <v>577</v>
      </c>
      <c r="B578" s="1">
        <v>469</v>
      </c>
      <c r="C578" s="3" t="s">
        <v>49</v>
      </c>
      <c r="D578" s="5" t="s">
        <v>23</v>
      </c>
      <c r="E578" s="10">
        <v>1.82</v>
      </c>
      <c r="F578" s="10">
        <v>9.1999999999999993</v>
      </c>
      <c r="G578" s="10">
        <v>4.1500000000000004</v>
      </c>
      <c r="H578" s="10">
        <v>1.88</v>
      </c>
      <c r="I578" s="8">
        <f t="shared" si="28"/>
        <v>2.7759177599999996</v>
      </c>
      <c r="K578" s="8">
        <f t="shared" si="30"/>
        <v>5.2991119326445704</v>
      </c>
      <c r="L578" s="8">
        <f t="shared" si="29"/>
        <v>2.6495559663222852</v>
      </c>
    </row>
    <row r="579" spans="1:12" x14ac:dyDescent="0.25">
      <c r="A579" s="1">
        <v>578</v>
      </c>
      <c r="B579" s="1">
        <v>470</v>
      </c>
      <c r="C579" s="3" t="s">
        <v>49</v>
      </c>
      <c r="D579" s="5" t="s">
        <v>23</v>
      </c>
      <c r="E579" s="10">
        <v>2.06</v>
      </c>
      <c r="F579" s="10">
        <v>7.04</v>
      </c>
      <c r="G579" s="10">
        <v>5.31</v>
      </c>
      <c r="H579" s="10">
        <v>2.0299999999999998</v>
      </c>
      <c r="I579" s="8">
        <f t="shared" ref="I579:I642" si="31">0.7854*H579^2</f>
        <v>3.2365548599999991</v>
      </c>
      <c r="K579" s="8">
        <f t="shared" si="30"/>
        <v>8.8123835245320485</v>
      </c>
      <c r="L579" s="8">
        <f t="shared" ref="L579:L642" si="32">K579*0.5</f>
        <v>4.4061917622660243</v>
      </c>
    </row>
    <row r="580" spans="1:12" x14ac:dyDescent="0.25">
      <c r="A580" s="1">
        <v>579</v>
      </c>
      <c r="B580" s="1">
        <v>471</v>
      </c>
      <c r="C580" s="3" t="s">
        <v>49</v>
      </c>
      <c r="D580" s="5" t="s">
        <v>23</v>
      </c>
      <c r="E580" s="10">
        <v>1.32</v>
      </c>
      <c r="F580" s="10">
        <v>9.86</v>
      </c>
      <c r="G580" s="10">
        <v>8.3000000000000007</v>
      </c>
      <c r="H580" s="10">
        <v>1.88</v>
      </c>
      <c r="I580" s="8">
        <f t="shared" si="31"/>
        <v>2.7759177599999996</v>
      </c>
      <c r="K580" s="8">
        <f t="shared" si="30"/>
        <v>22.150242704068795</v>
      </c>
      <c r="L580" s="8">
        <f t="shared" si="32"/>
        <v>11.075121352034397</v>
      </c>
    </row>
    <row r="581" spans="1:12" x14ac:dyDescent="0.25">
      <c r="A581" s="1">
        <v>580</v>
      </c>
      <c r="B581" s="1">
        <v>472</v>
      </c>
      <c r="C581" s="3" t="s">
        <v>49</v>
      </c>
      <c r="D581" s="5" t="s">
        <v>23</v>
      </c>
      <c r="E581" s="10">
        <v>1.8</v>
      </c>
      <c r="F581" s="10">
        <v>11.02</v>
      </c>
      <c r="G581" s="10">
        <v>6.64</v>
      </c>
      <c r="H581" s="10">
        <v>1.8</v>
      </c>
      <c r="I581" s="8">
        <f t="shared" si="31"/>
        <v>2.5446960000000001</v>
      </c>
      <c r="K581" s="8">
        <f t="shared" si="30"/>
        <v>13.976701092273087</v>
      </c>
      <c r="L581" s="8">
        <f t="shared" si="32"/>
        <v>6.9883505461365436</v>
      </c>
    </row>
    <row r="582" spans="1:12" x14ac:dyDescent="0.25">
      <c r="A582" s="1">
        <v>581</v>
      </c>
      <c r="B582" s="1">
        <v>473</v>
      </c>
      <c r="C582" s="3" t="s">
        <v>49</v>
      </c>
      <c r="D582" s="5" t="s">
        <v>23</v>
      </c>
      <c r="E582" s="10">
        <v>2.2799999999999998</v>
      </c>
      <c r="F582" s="10">
        <v>10.46</v>
      </c>
      <c r="G582" s="10">
        <v>4.43</v>
      </c>
      <c r="H582" s="10">
        <v>1.79</v>
      </c>
      <c r="I582" s="8">
        <f t="shared" si="31"/>
        <v>2.5165001399999998</v>
      </c>
      <c r="K582" s="8">
        <f t="shared" si="30"/>
        <v>6.0633820631454229</v>
      </c>
      <c r="L582" s="8">
        <f t="shared" si="32"/>
        <v>3.0316910315727115</v>
      </c>
    </row>
    <row r="583" spans="1:12" x14ac:dyDescent="0.25">
      <c r="A583" s="1">
        <v>582</v>
      </c>
      <c r="B583" s="1">
        <v>474</v>
      </c>
      <c r="C583" s="3" t="s">
        <v>49</v>
      </c>
      <c r="D583" s="5" t="s">
        <v>23</v>
      </c>
      <c r="E583" s="10">
        <v>2.1</v>
      </c>
      <c r="F583" s="10">
        <v>5.28</v>
      </c>
      <c r="G583" s="10">
        <f>F583-2</f>
        <v>3.2800000000000002</v>
      </c>
      <c r="H583" s="10">
        <v>1.96</v>
      </c>
      <c r="I583" s="8">
        <f t="shared" si="31"/>
        <v>3.0171926399999998</v>
      </c>
      <c r="K583" s="8">
        <f t="shared" si="30"/>
        <v>3.2611180641554287</v>
      </c>
      <c r="L583" s="8">
        <f t="shared" si="32"/>
        <v>1.6305590320777144</v>
      </c>
    </row>
    <row r="584" spans="1:12" x14ac:dyDescent="0.25">
      <c r="A584" s="1">
        <v>583</v>
      </c>
      <c r="B584" s="1">
        <v>475</v>
      </c>
      <c r="C584" s="3" t="s">
        <v>49</v>
      </c>
      <c r="D584" s="5" t="s">
        <v>23</v>
      </c>
      <c r="E584" s="10">
        <v>1.1399999999999999</v>
      </c>
      <c r="F584" s="10">
        <v>8.36</v>
      </c>
      <c r="G584" s="10">
        <f>F584-2</f>
        <v>6.3599999999999994</v>
      </c>
      <c r="H584" s="10">
        <v>1.76</v>
      </c>
      <c r="I584" s="8">
        <f t="shared" si="31"/>
        <v>2.4328550399999997</v>
      </c>
      <c r="K584" s="8">
        <f t="shared" si="30"/>
        <v>12.787763736192748</v>
      </c>
      <c r="L584" s="8">
        <f t="shared" si="32"/>
        <v>6.3938818680963738</v>
      </c>
    </row>
    <row r="585" spans="1:12" x14ac:dyDescent="0.25">
      <c r="A585" s="1">
        <v>584</v>
      </c>
      <c r="B585" s="1">
        <v>476</v>
      </c>
      <c r="C585" s="3" t="s">
        <v>49</v>
      </c>
      <c r="D585" s="5" t="s">
        <v>23</v>
      </c>
      <c r="E585" s="10">
        <v>2.0699999999999998</v>
      </c>
      <c r="F585" s="10">
        <v>5.73</v>
      </c>
      <c r="G585" s="10">
        <f>F585-2</f>
        <v>3.7300000000000004</v>
      </c>
      <c r="H585" s="10">
        <v>1.68</v>
      </c>
      <c r="I585" s="8">
        <f t="shared" si="31"/>
        <v>2.2167129599999997</v>
      </c>
      <c r="K585" s="8">
        <f t="shared" si="30"/>
        <v>4.2518899962269288</v>
      </c>
      <c r="L585" s="8">
        <f t="shared" si="32"/>
        <v>2.1259449981134644</v>
      </c>
    </row>
    <row r="586" spans="1:12" x14ac:dyDescent="0.25">
      <c r="A586" s="1">
        <v>585</v>
      </c>
      <c r="B586" s="1">
        <v>477</v>
      </c>
      <c r="C586" s="3" t="s">
        <v>49</v>
      </c>
      <c r="D586" s="5" t="s">
        <v>23</v>
      </c>
      <c r="E586" s="10">
        <v>2.1</v>
      </c>
      <c r="F586" s="10">
        <v>6.69</v>
      </c>
      <c r="G586" s="10">
        <v>4.67</v>
      </c>
      <c r="H586" s="10">
        <v>1.89</v>
      </c>
      <c r="I586" s="8">
        <f t="shared" si="31"/>
        <v>2.8055273399999998</v>
      </c>
      <c r="K586" s="8">
        <f t="shared" si="30"/>
        <v>6.7607710442016451</v>
      </c>
      <c r="L586" s="8">
        <f t="shared" si="32"/>
        <v>3.3803855221008225</v>
      </c>
    </row>
    <row r="587" spans="1:12" x14ac:dyDescent="0.25">
      <c r="A587" s="1">
        <v>586</v>
      </c>
      <c r="B587" s="1">
        <v>478</v>
      </c>
      <c r="C587" s="3" t="s">
        <v>49</v>
      </c>
      <c r="D587" s="5" t="s">
        <v>23</v>
      </c>
      <c r="E587" s="10">
        <v>2.13</v>
      </c>
      <c r="F587" s="10">
        <v>11.91</v>
      </c>
      <c r="G587" s="10">
        <v>6.16</v>
      </c>
      <c r="H587" s="10">
        <v>2.08</v>
      </c>
      <c r="I587" s="8">
        <f t="shared" si="31"/>
        <v>3.3979545600000005</v>
      </c>
      <c r="K587" s="8">
        <f t="shared" si="30"/>
        <v>11.971832864921979</v>
      </c>
      <c r="L587" s="8">
        <f t="shared" si="32"/>
        <v>5.9859164324609893</v>
      </c>
    </row>
    <row r="588" spans="1:12" x14ac:dyDescent="0.25">
      <c r="A588" s="1">
        <v>587</v>
      </c>
      <c r="B588" s="1">
        <v>479</v>
      </c>
      <c r="C588" s="3" t="s">
        <v>49</v>
      </c>
      <c r="D588" s="5" t="s">
        <v>23</v>
      </c>
      <c r="E588" s="10">
        <v>1.59</v>
      </c>
      <c r="F588" s="10">
        <v>6</v>
      </c>
      <c r="G588" s="10">
        <f>F588-2</f>
        <v>4</v>
      </c>
      <c r="H588" s="10">
        <v>1.9</v>
      </c>
      <c r="I588" s="8">
        <f t="shared" si="31"/>
        <v>2.8352939999999998</v>
      </c>
      <c r="K588" s="8">
        <f t="shared" si="30"/>
        <v>4.9114716065456436</v>
      </c>
      <c r="L588" s="8">
        <f t="shared" si="32"/>
        <v>2.4557358032728218</v>
      </c>
    </row>
    <row r="589" spans="1:12" x14ac:dyDescent="0.25">
      <c r="A589" s="1">
        <v>588</v>
      </c>
      <c r="B589" s="1">
        <v>480</v>
      </c>
      <c r="C589" s="3" t="s">
        <v>49</v>
      </c>
      <c r="D589" s="5" t="s">
        <v>23</v>
      </c>
      <c r="E589" s="10">
        <v>1.6</v>
      </c>
      <c r="F589" s="10">
        <v>8.49</v>
      </c>
      <c r="G589" s="10">
        <f>F589-2</f>
        <v>6.49</v>
      </c>
      <c r="H589" s="10">
        <v>1.71</v>
      </c>
      <c r="I589" s="8">
        <f t="shared" si="31"/>
        <v>2.2965881399999999</v>
      </c>
      <c r="K589" s="8">
        <f t="shared" si="30"/>
        <v>13.33299687913826</v>
      </c>
      <c r="L589" s="8">
        <f t="shared" si="32"/>
        <v>6.6664984395691302</v>
      </c>
    </row>
    <row r="590" spans="1:12" x14ac:dyDescent="0.25">
      <c r="A590" s="1">
        <v>589</v>
      </c>
      <c r="B590" s="1">
        <v>481</v>
      </c>
      <c r="C590" s="3" t="s">
        <v>49</v>
      </c>
      <c r="D590" s="5" t="s">
        <v>23</v>
      </c>
      <c r="E590" s="10">
        <v>1.7</v>
      </c>
      <c r="F590" s="10">
        <v>9.33</v>
      </c>
      <c r="G590" s="10">
        <v>3.19</v>
      </c>
      <c r="H590" s="10">
        <v>1.67</v>
      </c>
      <c r="I590" s="8">
        <f t="shared" si="31"/>
        <v>2.1904020599999998</v>
      </c>
      <c r="K590" s="8">
        <f t="shared" si="30"/>
        <v>3.0791647056514688</v>
      </c>
      <c r="L590" s="8">
        <f t="shared" si="32"/>
        <v>1.5395823528257344</v>
      </c>
    </row>
    <row r="591" spans="1:12" x14ac:dyDescent="0.25">
      <c r="A591" s="1">
        <v>590</v>
      </c>
      <c r="B591" s="1">
        <v>482</v>
      </c>
      <c r="C591" s="3" t="s">
        <v>49</v>
      </c>
      <c r="D591" s="5" t="s">
        <v>23</v>
      </c>
      <c r="E591" s="10">
        <v>1.76</v>
      </c>
      <c r="F591" s="10">
        <v>9.92</v>
      </c>
      <c r="G591" s="10">
        <v>3.46</v>
      </c>
      <c r="H591" s="10">
        <v>1.67</v>
      </c>
      <c r="I591" s="8">
        <f t="shared" si="31"/>
        <v>2.1904020599999998</v>
      </c>
      <c r="K591" s="8">
        <f t="shared" si="30"/>
        <v>3.64119867033064</v>
      </c>
      <c r="L591" s="8">
        <f t="shared" si="32"/>
        <v>1.82059933516532</v>
      </c>
    </row>
    <row r="592" spans="1:12" x14ac:dyDescent="0.25">
      <c r="A592" s="1">
        <v>591</v>
      </c>
      <c r="B592" s="1">
        <v>483</v>
      </c>
      <c r="C592" s="3" t="s">
        <v>49</v>
      </c>
      <c r="D592" s="5" t="s">
        <v>23</v>
      </c>
      <c r="E592" s="10">
        <v>1.65</v>
      </c>
      <c r="F592" s="10">
        <v>8.92</v>
      </c>
      <c r="G592" s="10">
        <v>6.25</v>
      </c>
      <c r="H592" s="10">
        <v>1.67</v>
      </c>
      <c r="I592" s="8">
        <f t="shared" si="31"/>
        <v>2.1904020599999998</v>
      </c>
      <c r="K592" s="8">
        <f t="shared" si="30"/>
        <v>12.335571116241951</v>
      </c>
      <c r="L592" s="8">
        <f t="shared" si="32"/>
        <v>6.1677855581209755</v>
      </c>
    </row>
    <row r="593" spans="1:12" x14ac:dyDescent="0.25">
      <c r="A593" s="1">
        <v>592</v>
      </c>
      <c r="B593" s="1">
        <v>484</v>
      </c>
      <c r="C593" s="3" t="s">
        <v>49</v>
      </c>
      <c r="D593" s="5" t="s">
        <v>23</v>
      </c>
      <c r="E593" s="10">
        <v>1.82</v>
      </c>
      <c r="F593" s="10">
        <v>5.07</v>
      </c>
      <c r="G593" s="10">
        <f>F593-2</f>
        <v>3.0700000000000003</v>
      </c>
      <c r="H593" s="10">
        <v>1.76</v>
      </c>
      <c r="I593" s="8">
        <f t="shared" si="31"/>
        <v>2.4328550399999997</v>
      </c>
      <c r="K593" s="8">
        <f t="shared" si="30"/>
        <v>2.8449254042580638</v>
      </c>
      <c r="L593" s="8">
        <f t="shared" si="32"/>
        <v>1.4224627021290319</v>
      </c>
    </row>
    <row r="594" spans="1:12" x14ac:dyDescent="0.25">
      <c r="A594" s="1">
        <v>593</v>
      </c>
      <c r="B594" s="1">
        <v>485</v>
      </c>
      <c r="C594" s="3" t="s">
        <v>49</v>
      </c>
      <c r="D594" s="5" t="s">
        <v>23</v>
      </c>
      <c r="E594" s="10">
        <v>1.33</v>
      </c>
      <c r="F594" s="10">
        <v>7.29</v>
      </c>
      <c r="G594" s="10">
        <v>6.77</v>
      </c>
      <c r="H594" s="10">
        <v>1.87</v>
      </c>
      <c r="I594" s="8">
        <f t="shared" si="31"/>
        <v>2.7464652600000004</v>
      </c>
      <c r="K594" s="8">
        <f t="shared" si="30"/>
        <v>14.547238645595437</v>
      </c>
      <c r="L594" s="8">
        <f t="shared" si="32"/>
        <v>7.2736193227977184</v>
      </c>
    </row>
    <row r="595" spans="1:12" x14ac:dyDescent="0.25">
      <c r="A595" s="1">
        <v>594</v>
      </c>
      <c r="B595" s="1">
        <v>486</v>
      </c>
      <c r="C595" s="3" t="s">
        <v>49</v>
      </c>
      <c r="D595" s="5" t="s">
        <v>23</v>
      </c>
      <c r="E595" s="10">
        <v>1.43</v>
      </c>
      <c r="F595" s="10">
        <v>8.6199999999999992</v>
      </c>
      <c r="G595" s="10">
        <v>6.48</v>
      </c>
      <c r="H595" s="10">
        <v>1.9</v>
      </c>
      <c r="I595" s="8">
        <f t="shared" si="31"/>
        <v>2.8352939999999998</v>
      </c>
      <c r="K595" s="8">
        <f t="shared" si="30"/>
        <v>13.290639255624786</v>
      </c>
      <c r="L595" s="8">
        <f t="shared" si="32"/>
        <v>6.6453196278123929</v>
      </c>
    </row>
    <row r="596" spans="1:12" x14ac:dyDescent="0.25">
      <c r="A596" s="1">
        <v>595</v>
      </c>
      <c r="B596" s="1">
        <v>487</v>
      </c>
      <c r="C596" s="3" t="s">
        <v>49</v>
      </c>
      <c r="D596" s="5" t="s">
        <v>23</v>
      </c>
      <c r="E596" s="10">
        <v>1.34</v>
      </c>
      <c r="F596" s="10">
        <v>5.62</v>
      </c>
      <c r="G596" s="10">
        <v>3.74</v>
      </c>
      <c r="H596" s="10">
        <v>1.73</v>
      </c>
      <c r="I596" s="8">
        <f t="shared" si="31"/>
        <v>2.3506236600000001</v>
      </c>
      <c r="K596" s="8">
        <f t="shared" si="30"/>
        <v>4.2754457164372068</v>
      </c>
      <c r="L596" s="8">
        <f t="shared" si="32"/>
        <v>2.1377228582186034</v>
      </c>
    </row>
    <row r="597" spans="1:12" x14ac:dyDescent="0.25">
      <c r="A597" s="1">
        <v>596</v>
      </c>
      <c r="B597" s="1">
        <v>488</v>
      </c>
      <c r="C597" s="3" t="s">
        <v>49</v>
      </c>
      <c r="D597" s="5" t="s">
        <v>23</v>
      </c>
      <c r="E597" s="10">
        <v>2.2999999999999998</v>
      </c>
      <c r="F597" s="10">
        <v>7.45</v>
      </c>
      <c r="G597" s="10">
        <f>F597-2</f>
        <v>5.45</v>
      </c>
      <c r="H597" s="10">
        <v>1.92</v>
      </c>
      <c r="I597" s="8">
        <f t="shared" si="31"/>
        <v>2.8952985600000001</v>
      </c>
      <c r="K597" s="8">
        <f t="shared" si="30"/>
        <v>9.298545661359503</v>
      </c>
      <c r="L597" s="8">
        <f t="shared" si="32"/>
        <v>4.6492728306797515</v>
      </c>
    </row>
    <row r="598" spans="1:12" x14ac:dyDescent="0.25">
      <c r="A598" s="1">
        <v>597</v>
      </c>
      <c r="B598" s="1">
        <v>489</v>
      </c>
      <c r="C598" s="3" t="s">
        <v>49</v>
      </c>
      <c r="D598" s="5" t="s">
        <v>23</v>
      </c>
      <c r="E598" s="10">
        <v>1.6</v>
      </c>
      <c r="F598" s="10">
        <v>5.23</v>
      </c>
      <c r="G598" s="10">
        <f>F598-2</f>
        <v>3.2300000000000004</v>
      </c>
      <c r="H598" s="10">
        <v>1.88</v>
      </c>
      <c r="I598" s="8">
        <f t="shared" si="31"/>
        <v>2.7759177599999996</v>
      </c>
      <c r="K598" s="8">
        <f t="shared" si="30"/>
        <v>3.1593682575444899</v>
      </c>
      <c r="L598" s="8">
        <f t="shared" si="32"/>
        <v>1.579684128772245</v>
      </c>
    </row>
    <row r="599" spans="1:12" x14ac:dyDescent="0.25">
      <c r="A599" s="1">
        <v>598</v>
      </c>
      <c r="B599" s="1">
        <v>490</v>
      </c>
      <c r="C599" s="3" t="s">
        <v>49</v>
      </c>
      <c r="D599" s="5" t="s">
        <v>23</v>
      </c>
      <c r="E599" s="10">
        <v>2.25</v>
      </c>
      <c r="F599" s="10">
        <v>5.55</v>
      </c>
      <c r="G599" s="10">
        <f>F599-2</f>
        <v>3.55</v>
      </c>
      <c r="H599" s="10">
        <v>1.72</v>
      </c>
      <c r="I599" s="8">
        <f t="shared" si="31"/>
        <v>2.3235273599999999</v>
      </c>
      <c r="K599" s="8">
        <f t="shared" si="30"/>
        <v>3.8393442305672671</v>
      </c>
      <c r="L599" s="8">
        <f t="shared" si="32"/>
        <v>1.9196721152836336</v>
      </c>
    </row>
    <row r="600" spans="1:12" x14ac:dyDescent="0.25">
      <c r="A600" s="1">
        <v>599</v>
      </c>
      <c r="B600" s="1">
        <v>491</v>
      </c>
      <c r="C600" s="3" t="s">
        <v>49</v>
      </c>
      <c r="D600" s="5" t="s">
        <v>23</v>
      </c>
      <c r="E600" s="10">
        <v>1.1299999999999999</v>
      </c>
      <c r="F600" s="10">
        <v>7.78</v>
      </c>
      <c r="G600" s="10">
        <f>F600-2</f>
        <v>5.78</v>
      </c>
      <c r="H600" s="10">
        <v>1.82</v>
      </c>
      <c r="I600" s="8">
        <f t="shared" si="31"/>
        <v>2.6015589600000002</v>
      </c>
      <c r="K600" s="8">
        <f t="shared" si="30"/>
        <v>10.49781560760105</v>
      </c>
      <c r="L600" s="8">
        <f t="shared" si="32"/>
        <v>5.2489078038005248</v>
      </c>
    </row>
    <row r="601" spans="1:12" x14ac:dyDescent="0.25">
      <c r="A601" s="1">
        <v>600</v>
      </c>
      <c r="B601" s="1">
        <v>492</v>
      </c>
      <c r="C601" s="3" t="s">
        <v>49</v>
      </c>
      <c r="D601" s="5" t="s">
        <v>23</v>
      </c>
      <c r="E601" s="10">
        <v>1.31</v>
      </c>
      <c r="F601" s="10">
        <v>5.93</v>
      </c>
      <c r="G601" s="10">
        <f>F601-2</f>
        <v>3.9299999999999997</v>
      </c>
      <c r="H601" s="10">
        <v>2.08</v>
      </c>
      <c r="I601" s="8">
        <f t="shared" si="31"/>
        <v>3.3979545600000005</v>
      </c>
      <c r="K601" s="8">
        <f t="shared" si="30"/>
        <v>4.735762053493084</v>
      </c>
      <c r="L601" s="8">
        <f t="shared" si="32"/>
        <v>2.367881026746542</v>
      </c>
    </row>
    <row r="602" spans="1:12" x14ac:dyDescent="0.25">
      <c r="A602" s="1">
        <v>601</v>
      </c>
      <c r="B602" s="1">
        <v>493</v>
      </c>
      <c r="C602" s="3" t="s">
        <v>49</v>
      </c>
      <c r="D602" s="5" t="s">
        <v>23</v>
      </c>
      <c r="E602" s="10">
        <v>1.28</v>
      </c>
      <c r="F602" s="10">
        <v>8.9700000000000006</v>
      </c>
      <c r="G602" s="10">
        <v>4.43</v>
      </c>
      <c r="H602" s="10">
        <v>1.88</v>
      </c>
      <c r="I602" s="8">
        <f t="shared" si="31"/>
        <v>2.7759177599999996</v>
      </c>
      <c r="K602" s="8">
        <f t="shared" si="30"/>
        <v>6.0633820631454229</v>
      </c>
      <c r="L602" s="8">
        <f t="shared" si="32"/>
        <v>3.0316910315727115</v>
      </c>
    </row>
    <row r="603" spans="1:12" x14ac:dyDescent="0.25">
      <c r="A603" s="1">
        <v>602</v>
      </c>
      <c r="B603" s="1">
        <v>494</v>
      </c>
      <c r="C603" s="3" t="s">
        <v>49</v>
      </c>
      <c r="D603" s="5" t="s">
        <v>23</v>
      </c>
      <c r="E603" s="10">
        <v>1.47</v>
      </c>
      <c r="F603" s="10">
        <v>9.83</v>
      </c>
      <c r="G603" s="10">
        <v>6.66</v>
      </c>
      <c r="H603" s="10">
        <v>1.94</v>
      </c>
      <c r="I603" s="8">
        <f t="shared" si="31"/>
        <v>2.9559314399999996</v>
      </c>
      <c r="K603" s="8">
        <f t="shared" si="30"/>
        <v>14.063710486555756</v>
      </c>
      <c r="L603" s="8">
        <f t="shared" si="32"/>
        <v>7.031855243277878</v>
      </c>
    </row>
    <row r="604" spans="1:12" x14ac:dyDescent="0.25">
      <c r="A604" s="1">
        <v>603</v>
      </c>
      <c r="B604" s="1">
        <v>495</v>
      </c>
      <c r="C604" s="3" t="s">
        <v>49</v>
      </c>
      <c r="D604" s="5" t="s">
        <v>23</v>
      </c>
      <c r="E604" s="10">
        <v>1.39</v>
      </c>
      <c r="F604" s="10">
        <v>10.6</v>
      </c>
      <c r="G604" s="10">
        <v>5.01</v>
      </c>
      <c r="H604" s="10">
        <v>1.94</v>
      </c>
      <c r="I604" s="8">
        <f t="shared" si="31"/>
        <v>2.9559314399999996</v>
      </c>
      <c r="K604" s="8">
        <f t="shared" si="30"/>
        <v>7.8158459871753543</v>
      </c>
      <c r="L604" s="8">
        <f t="shared" si="32"/>
        <v>3.9079229935876771</v>
      </c>
    </row>
    <row r="605" spans="1:12" x14ac:dyDescent="0.25">
      <c r="A605" s="1">
        <v>604</v>
      </c>
      <c r="B605" s="1">
        <v>496</v>
      </c>
      <c r="C605" s="3" t="s">
        <v>49</v>
      </c>
      <c r="D605" s="5" t="s">
        <v>23</v>
      </c>
      <c r="E605" s="10">
        <v>1.58</v>
      </c>
      <c r="F605" s="10">
        <v>6.4</v>
      </c>
      <c r="G605" s="10">
        <f>F605-2</f>
        <v>4.4000000000000004</v>
      </c>
      <c r="H605" s="10">
        <v>1.9</v>
      </c>
      <c r="I605" s="8">
        <f t="shared" si="31"/>
        <v>2.8352939999999998</v>
      </c>
      <c r="K605" s="8">
        <f t="shared" si="30"/>
        <v>5.9789571859016917</v>
      </c>
      <c r="L605" s="8">
        <f t="shared" si="32"/>
        <v>2.9894785929508458</v>
      </c>
    </row>
    <row r="606" spans="1:12" x14ac:dyDescent="0.25">
      <c r="A606" s="1">
        <v>605</v>
      </c>
      <c r="B606" s="1">
        <v>497</v>
      </c>
      <c r="C606" s="3" t="s">
        <v>49</v>
      </c>
      <c r="D606" s="5" t="s">
        <v>23</v>
      </c>
      <c r="E606" s="10">
        <v>1.45</v>
      </c>
      <c r="F606" s="10">
        <v>6.17</v>
      </c>
      <c r="G606" s="10">
        <f>F606-2</f>
        <v>4.17</v>
      </c>
      <c r="H606" s="10">
        <v>1.86</v>
      </c>
      <c r="I606" s="8">
        <f t="shared" si="31"/>
        <v>2.7171698400000004</v>
      </c>
      <c r="K606" s="8">
        <f t="shared" si="30"/>
        <v>5.3519444251195925</v>
      </c>
      <c r="L606" s="8">
        <f t="shared" si="32"/>
        <v>2.6759722125597962</v>
      </c>
    </row>
    <row r="607" spans="1:12" x14ac:dyDescent="0.25">
      <c r="A607" s="1">
        <v>606</v>
      </c>
      <c r="B607" s="1">
        <v>498</v>
      </c>
      <c r="C607" s="3" t="s">
        <v>49</v>
      </c>
      <c r="D607" s="5" t="s">
        <v>23</v>
      </c>
      <c r="E607" s="10">
        <v>1.38</v>
      </c>
      <c r="F607" s="10">
        <v>5.73</v>
      </c>
      <c r="G607" s="10">
        <f>F607-2</f>
        <v>3.7300000000000004</v>
      </c>
      <c r="H607" s="10">
        <v>1.94</v>
      </c>
      <c r="I607" s="8">
        <f t="shared" si="31"/>
        <v>2.9559314399999996</v>
      </c>
      <c r="K607" s="8">
        <f t="shared" si="30"/>
        <v>4.2518899962269288</v>
      </c>
      <c r="L607" s="8">
        <f t="shared" si="32"/>
        <v>2.1259449981134644</v>
      </c>
    </row>
    <row r="608" spans="1:12" x14ac:dyDescent="0.25">
      <c r="A608" s="1">
        <v>607</v>
      </c>
      <c r="B608" s="1">
        <v>499</v>
      </c>
      <c r="C608" s="3" t="s">
        <v>49</v>
      </c>
      <c r="D608" s="5" t="s">
        <v>23</v>
      </c>
      <c r="E608" s="10">
        <v>1.35</v>
      </c>
      <c r="F608" s="10">
        <v>9.4600000000000009</v>
      </c>
      <c r="G608" s="10">
        <v>8.59</v>
      </c>
      <c r="H608" s="10">
        <v>2</v>
      </c>
      <c r="I608" s="8">
        <f t="shared" si="31"/>
        <v>3.1415999999999999</v>
      </c>
      <c r="K608" s="8">
        <f t="shared" si="30"/>
        <v>23.776927808100858</v>
      </c>
      <c r="L608" s="8">
        <f t="shared" si="32"/>
        <v>11.888463904050429</v>
      </c>
    </row>
    <row r="609" spans="1:12" x14ac:dyDescent="0.25">
      <c r="A609" s="1">
        <v>608</v>
      </c>
      <c r="B609" s="1">
        <v>500</v>
      </c>
      <c r="C609" s="3" t="s">
        <v>49</v>
      </c>
      <c r="D609" s="5" t="s">
        <v>23</v>
      </c>
      <c r="E609" s="10">
        <v>1.71</v>
      </c>
      <c r="F609" s="10">
        <v>9.9499999999999993</v>
      </c>
      <c r="G609" s="10">
        <v>5.77</v>
      </c>
      <c r="H609" s="10">
        <v>2.08</v>
      </c>
      <c r="I609" s="8">
        <f t="shared" si="31"/>
        <v>3.3979545600000005</v>
      </c>
      <c r="K609" s="8">
        <f t="shared" si="30"/>
        <v>10.460372157171879</v>
      </c>
      <c r="L609" s="8">
        <f t="shared" si="32"/>
        <v>5.2301860785859393</v>
      </c>
    </row>
    <row r="610" spans="1:12" x14ac:dyDescent="0.25">
      <c r="A610" s="1">
        <v>609</v>
      </c>
      <c r="B610" s="1">
        <v>501</v>
      </c>
      <c r="C610" s="3" t="s">
        <v>49</v>
      </c>
      <c r="D610" s="5" t="s">
        <v>23</v>
      </c>
      <c r="E610" s="10">
        <v>1.73</v>
      </c>
      <c r="F610" s="10">
        <v>5.22</v>
      </c>
      <c r="G610" s="10">
        <f>F610-2</f>
        <v>3.2199999999999998</v>
      </c>
      <c r="H610" s="10">
        <v>1.96</v>
      </c>
      <c r="I610" s="8">
        <f t="shared" si="31"/>
        <v>3.0171926399999998</v>
      </c>
      <c r="K610" s="8">
        <f t="shared" si="30"/>
        <v>3.1392177176505425</v>
      </c>
      <c r="L610" s="8">
        <f t="shared" si="32"/>
        <v>1.5696088588252712</v>
      </c>
    </row>
    <row r="611" spans="1:12" x14ac:dyDescent="0.25">
      <c r="A611" s="1">
        <v>610</v>
      </c>
      <c r="B611" s="1">
        <v>502</v>
      </c>
      <c r="C611" s="3" t="s">
        <v>49</v>
      </c>
      <c r="D611" s="5" t="s">
        <v>23</v>
      </c>
      <c r="E611" s="10">
        <v>2.09</v>
      </c>
      <c r="F611" s="10">
        <v>11.55</v>
      </c>
      <c r="G611" s="10">
        <v>6.73</v>
      </c>
      <c r="H611" s="10">
        <v>1.89</v>
      </c>
      <c r="I611" s="8">
        <f t="shared" si="31"/>
        <v>2.8055273399999998</v>
      </c>
      <c r="K611" s="8">
        <f t="shared" si="30"/>
        <v>14.370435529325023</v>
      </c>
      <c r="L611" s="8">
        <f t="shared" si="32"/>
        <v>7.1852177646625117</v>
      </c>
    </row>
    <row r="612" spans="1:12" x14ac:dyDescent="0.25">
      <c r="A612" s="1">
        <v>611</v>
      </c>
      <c r="B612" s="1">
        <v>503</v>
      </c>
      <c r="C612" s="3" t="s">
        <v>49</v>
      </c>
      <c r="D612" s="5" t="s">
        <v>23</v>
      </c>
      <c r="E612" s="10">
        <v>2.19</v>
      </c>
      <c r="F612" s="10">
        <v>5.36</v>
      </c>
      <c r="G612" s="10">
        <v>4.1100000000000003</v>
      </c>
      <c r="H612" s="10">
        <v>1.87</v>
      </c>
      <c r="I612" s="8">
        <f t="shared" si="31"/>
        <v>2.7464652600000004</v>
      </c>
      <c r="K612" s="8">
        <f t="shared" si="30"/>
        <v>5.194257135419595</v>
      </c>
      <c r="L612" s="8">
        <f t="shared" si="32"/>
        <v>2.5971285677097975</v>
      </c>
    </row>
    <row r="613" spans="1:12" x14ac:dyDescent="0.25">
      <c r="A613" s="1">
        <v>612</v>
      </c>
      <c r="B613" s="1">
        <v>504</v>
      </c>
      <c r="C613" s="3" t="s">
        <v>49</v>
      </c>
      <c r="D613" s="5" t="s">
        <v>23</v>
      </c>
      <c r="E613" s="10">
        <v>1.95</v>
      </c>
      <c r="F613" s="10">
        <v>8.7899999999999991</v>
      </c>
      <c r="G613" s="10">
        <v>7.87</v>
      </c>
      <c r="H613" s="10">
        <v>1.84</v>
      </c>
      <c r="I613" s="8">
        <f t="shared" si="31"/>
        <v>2.65905024</v>
      </c>
      <c r="K613" s="8">
        <f t="shared" si="30"/>
        <v>19.847449510725511</v>
      </c>
      <c r="L613" s="8">
        <f t="shared" si="32"/>
        <v>9.9237247553627554</v>
      </c>
    </row>
    <row r="614" spans="1:12" x14ac:dyDescent="0.25">
      <c r="A614" s="1">
        <v>613</v>
      </c>
      <c r="B614" s="1">
        <v>505</v>
      </c>
      <c r="C614" s="3" t="s">
        <v>49</v>
      </c>
      <c r="D614" s="5" t="s">
        <v>23</v>
      </c>
      <c r="E614" s="10">
        <v>1.52</v>
      </c>
      <c r="F614" s="10">
        <v>9.9600000000000009</v>
      </c>
      <c r="G614" s="10">
        <v>8.5500000000000007</v>
      </c>
      <c r="H614" s="10">
        <v>2.06</v>
      </c>
      <c r="I614" s="8">
        <f t="shared" si="31"/>
        <v>3.3329234399999996</v>
      </c>
      <c r="K614" s="8">
        <f t="shared" si="30"/>
        <v>23.549024598805694</v>
      </c>
      <c r="L614" s="8">
        <f t="shared" si="32"/>
        <v>11.774512299402847</v>
      </c>
    </row>
    <row r="615" spans="1:12" x14ac:dyDescent="0.25">
      <c r="A615" s="1">
        <v>614</v>
      </c>
      <c r="B615" s="1">
        <v>506</v>
      </c>
      <c r="C615" s="3" t="s">
        <v>49</v>
      </c>
      <c r="D615" s="5" t="s">
        <v>23</v>
      </c>
      <c r="E615" s="10">
        <v>1.1399999999999999</v>
      </c>
      <c r="F615" s="10">
        <v>11.1</v>
      </c>
      <c r="G615" s="10">
        <v>5.22</v>
      </c>
      <c r="H615" s="10">
        <v>2.1</v>
      </c>
      <c r="I615" s="8">
        <f t="shared" si="31"/>
        <v>3.4636140000000002</v>
      </c>
      <c r="K615" s="8">
        <f t="shared" si="30"/>
        <v>8.5069509466186517</v>
      </c>
      <c r="L615" s="8">
        <f t="shared" si="32"/>
        <v>4.2534754733093258</v>
      </c>
    </row>
    <row r="616" spans="1:12" x14ac:dyDescent="0.25">
      <c r="A616" s="1">
        <v>615</v>
      </c>
      <c r="B616" s="1">
        <v>507</v>
      </c>
      <c r="C616" s="3" t="s">
        <v>49</v>
      </c>
      <c r="D616" s="5" t="s">
        <v>23</v>
      </c>
      <c r="E616" s="10">
        <v>1.46</v>
      </c>
      <c r="F616" s="10">
        <v>10</v>
      </c>
      <c r="G616" s="10">
        <v>9</v>
      </c>
      <c r="H616" s="10">
        <v>1.73</v>
      </c>
      <c r="I616" s="8">
        <f t="shared" si="31"/>
        <v>2.3506236600000001</v>
      </c>
      <c r="K616" s="8">
        <f t="shared" si="30"/>
        <v>26.178229081908352</v>
      </c>
      <c r="L616" s="8">
        <f t="shared" si="32"/>
        <v>13.089114540954176</v>
      </c>
    </row>
    <row r="617" spans="1:12" x14ac:dyDescent="0.25">
      <c r="A617" s="1">
        <v>616</v>
      </c>
      <c r="B617" s="1">
        <v>508</v>
      </c>
      <c r="C617" s="3" t="s">
        <v>49</v>
      </c>
      <c r="D617" s="5" t="s">
        <v>23</v>
      </c>
      <c r="E617" s="10">
        <v>2.14</v>
      </c>
      <c r="F617" s="10">
        <v>10.61</v>
      </c>
      <c r="G617" s="10">
        <v>9.34</v>
      </c>
      <c r="H617" s="10">
        <v>2.08</v>
      </c>
      <c r="I617" s="8">
        <f t="shared" si="31"/>
        <v>3.3979545600000005</v>
      </c>
      <c r="K617" s="8">
        <f t="shared" si="30"/>
        <v>28.259965329883389</v>
      </c>
      <c r="L617" s="8">
        <f t="shared" si="32"/>
        <v>14.129982664941695</v>
      </c>
    </row>
    <row r="618" spans="1:12" x14ac:dyDescent="0.25">
      <c r="A618" s="1">
        <v>617</v>
      </c>
      <c r="B618" s="1">
        <v>509</v>
      </c>
      <c r="C618" s="3" t="s">
        <v>49</v>
      </c>
      <c r="D618" s="5" t="s">
        <v>23</v>
      </c>
      <c r="E618" s="10">
        <v>1.1399999999999999</v>
      </c>
      <c r="F618" s="10">
        <v>7.38</v>
      </c>
      <c r="G618" s="10">
        <v>4.9400000000000004</v>
      </c>
      <c r="H618" s="10">
        <v>1.67</v>
      </c>
      <c r="I618" s="8">
        <f t="shared" si="31"/>
        <v>2.1904020599999998</v>
      </c>
      <c r="K618" s="8">
        <f t="shared" si="30"/>
        <v>7.5921784031148354</v>
      </c>
      <c r="L618" s="8">
        <f t="shared" si="32"/>
        <v>3.7960892015574177</v>
      </c>
    </row>
    <row r="619" spans="1:12" x14ac:dyDescent="0.25">
      <c r="A619" s="1">
        <v>618</v>
      </c>
      <c r="B619" s="1">
        <v>510</v>
      </c>
      <c r="C619" s="3" t="s">
        <v>49</v>
      </c>
      <c r="D619" s="5" t="s">
        <v>23</v>
      </c>
      <c r="E619" s="10">
        <v>2.38</v>
      </c>
      <c r="F619" s="10">
        <v>10.7</v>
      </c>
      <c r="G619" s="10">
        <v>9.8800000000000008</v>
      </c>
      <c r="H619" s="10">
        <v>2.09</v>
      </c>
      <c r="I619" s="8">
        <f t="shared" si="31"/>
        <v>3.4307057399999992</v>
      </c>
      <c r="K619" s="8">
        <f t="shared" si="30"/>
        <v>31.735241002478077</v>
      </c>
      <c r="L619" s="8">
        <f t="shared" si="32"/>
        <v>15.867620501239038</v>
      </c>
    </row>
    <row r="620" spans="1:12" x14ac:dyDescent="0.25">
      <c r="A620" s="1">
        <v>619</v>
      </c>
      <c r="B620" s="1">
        <v>511</v>
      </c>
      <c r="C620" s="3" t="s">
        <v>49</v>
      </c>
      <c r="D620" s="5" t="s">
        <v>23</v>
      </c>
      <c r="E620" s="10">
        <v>1.45</v>
      </c>
      <c r="F620" s="10">
        <v>5.56</v>
      </c>
      <c r="G620" s="10">
        <v>3.98</v>
      </c>
      <c r="H620" s="10">
        <v>1.83</v>
      </c>
      <c r="I620" s="8">
        <f t="shared" si="31"/>
        <v>2.6302260600000005</v>
      </c>
      <c r="K620" s="8">
        <f t="shared" si="30"/>
        <v>4.8609322137549276</v>
      </c>
      <c r="L620" s="8">
        <f t="shared" si="32"/>
        <v>2.4304661068774638</v>
      </c>
    </row>
    <row r="621" spans="1:12" x14ac:dyDescent="0.25">
      <c r="A621" s="1">
        <v>620</v>
      </c>
      <c r="B621" s="1">
        <v>512</v>
      </c>
      <c r="C621" s="3" t="s">
        <v>49</v>
      </c>
      <c r="D621" s="5" t="s">
        <v>23</v>
      </c>
      <c r="E621" s="10">
        <v>2.2400000000000002</v>
      </c>
      <c r="F621" s="10">
        <v>11.26</v>
      </c>
      <c r="G621" s="10">
        <v>4.41</v>
      </c>
      <c r="H621" s="10">
        <v>1.85</v>
      </c>
      <c r="I621" s="8">
        <f t="shared" si="31"/>
        <v>2.6880315000000001</v>
      </c>
      <c r="K621" s="8">
        <f t="shared" si="30"/>
        <v>6.0070310247962313</v>
      </c>
      <c r="L621" s="8">
        <f t="shared" si="32"/>
        <v>3.0035155123981156</v>
      </c>
    </row>
    <row r="622" spans="1:12" x14ac:dyDescent="0.25">
      <c r="A622" s="1">
        <v>621</v>
      </c>
      <c r="B622" s="1">
        <v>513</v>
      </c>
      <c r="C622" s="3" t="s">
        <v>49</v>
      </c>
      <c r="D622" s="5" t="s">
        <v>23</v>
      </c>
      <c r="E622" s="10">
        <v>2.4</v>
      </c>
      <c r="F622" s="10">
        <v>8.83</v>
      </c>
      <c r="G622" s="10">
        <v>4.29</v>
      </c>
      <c r="H622" s="10">
        <v>2.0699999999999998</v>
      </c>
      <c r="I622" s="8">
        <f t="shared" si="31"/>
        <v>3.3653604599999993</v>
      </c>
      <c r="K622" s="8">
        <f t="shared" si="30"/>
        <v>5.674615866487918</v>
      </c>
      <c r="L622" s="8">
        <f t="shared" si="32"/>
        <v>2.837307933243959</v>
      </c>
    </row>
    <row r="623" spans="1:12" x14ac:dyDescent="0.25">
      <c r="A623" s="1">
        <v>622</v>
      </c>
      <c r="B623" s="1">
        <v>514</v>
      </c>
      <c r="C623" s="3" t="s">
        <v>49</v>
      </c>
      <c r="D623" s="5" t="s">
        <v>23</v>
      </c>
      <c r="E623" s="10">
        <v>2.2999999999999998</v>
      </c>
      <c r="F623" s="10">
        <v>10.72</v>
      </c>
      <c r="G623" s="10">
        <v>9.26</v>
      </c>
      <c r="H623" s="10">
        <v>1.95</v>
      </c>
      <c r="I623" s="8">
        <f t="shared" si="31"/>
        <v>2.9864834999999998</v>
      </c>
      <c r="K623" s="8">
        <f t="shared" ref="K623:K686" si="33">0.2811*G623^2.0635</f>
        <v>27.762758584343246</v>
      </c>
      <c r="L623" s="8">
        <f t="shared" si="32"/>
        <v>13.881379292171623</v>
      </c>
    </row>
    <row r="624" spans="1:12" x14ac:dyDescent="0.25">
      <c r="A624" s="1">
        <v>623</v>
      </c>
      <c r="B624" s="1">
        <v>515</v>
      </c>
      <c r="C624" s="3" t="s">
        <v>49</v>
      </c>
      <c r="D624" s="5" t="s">
        <v>23</v>
      </c>
      <c r="E624" s="10">
        <v>1.86</v>
      </c>
      <c r="F624" s="10">
        <v>8.17</v>
      </c>
      <c r="G624" s="10">
        <v>7.58</v>
      </c>
      <c r="H624" s="10">
        <v>1.71</v>
      </c>
      <c r="I624" s="8">
        <f t="shared" si="31"/>
        <v>2.2965881399999999</v>
      </c>
      <c r="K624" s="8">
        <f t="shared" si="33"/>
        <v>18.367846926865216</v>
      </c>
      <c r="L624" s="8">
        <f t="shared" si="32"/>
        <v>9.1839234634326079</v>
      </c>
    </row>
    <row r="625" spans="1:12" x14ac:dyDescent="0.25">
      <c r="A625" s="1">
        <v>624</v>
      </c>
      <c r="B625" s="1">
        <v>516</v>
      </c>
      <c r="C625" s="3" t="s">
        <v>49</v>
      </c>
      <c r="D625" s="5" t="s">
        <v>23</v>
      </c>
      <c r="E625" s="10">
        <v>1.49</v>
      </c>
      <c r="F625" s="10">
        <v>9.51</v>
      </c>
      <c r="G625" s="10">
        <v>4.0599999999999996</v>
      </c>
      <c r="H625" s="10">
        <v>1.69</v>
      </c>
      <c r="I625" s="8">
        <f t="shared" si="31"/>
        <v>2.2431809399999998</v>
      </c>
      <c r="K625" s="8">
        <f t="shared" si="33"/>
        <v>5.0647068831623638</v>
      </c>
      <c r="L625" s="8">
        <f t="shared" si="32"/>
        <v>2.5323534415811819</v>
      </c>
    </row>
    <row r="626" spans="1:12" x14ac:dyDescent="0.25">
      <c r="A626" s="1">
        <v>625</v>
      </c>
      <c r="B626" s="1">
        <v>517</v>
      </c>
      <c r="C626" s="3" t="s">
        <v>49</v>
      </c>
      <c r="D626" s="5" t="s">
        <v>23</v>
      </c>
      <c r="E626" s="10">
        <v>1.24</v>
      </c>
      <c r="F626" s="10">
        <v>8.68</v>
      </c>
      <c r="G626" s="10">
        <v>6.08</v>
      </c>
      <c r="H626" s="10">
        <v>1.72</v>
      </c>
      <c r="I626" s="8">
        <f t="shared" si="31"/>
        <v>2.3235273599999999</v>
      </c>
      <c r="K626" s="8">
        <f t="shared" si="33"/>
        <v>11.653218280097111</v>
      </c>
      <c r="L626" s="8">
        <f t="shared" si="32"/>
        <v>5.8266091400485553</v>
      </c>
    </row>
    <row r="627" spans="1:12" x14ac:dyDescent="0.25">
      <c r="A627" s="1">
        <v>626</v>
      </c>
      <c r="B627" s="1">
        <v>518</v>
      </c>
      <c r="C627" s="3" t="s">
        <v>49</v>
      </c>
      <c r="D627" s="5" t="s">
        <v>23</v>
      </c>
      <c r="E627" s="10">
        <v>1.23</v>
      </c>
      <c r="F627" s="10">
        <v>10.119999999999999</v>
      </c>
      <c r="G627" s="10">
        <v>7.31</v>
      </c>
      <c r="H627" s="10">
        <v>1.9</v>
      </c>
      <c r="I627" s="8">
        <f t="shared" si="31"/>
        <v>2.8352939999999998</v>
      </c>
      <c r="K627" s="8">
        <f t="shared" si="33"/>
        <v>17.043326071405609</v>
      </c>
      <c r="L627" s="8">
        <f t="shared" si="32"/>
        <v>8.5216630357028045</v>
      </c>
    </row>
    <row r="628" spans="1:12" x14ac:dyDescent="0.25">
      <c r="A628" s="1">
        <v>627</v>
      </c>
      <c r="B628" s="1">
        <v>519</v>
      </c>
      <c r="C628" s="3" t="s">
        <v>49</v>
      </c>
      <c r="D628" s="5" t="s">
        <v>23</v>
      </c>
      <c r="E628" s="10">
        <v>1.46</v>
      </c>
      <c r="F628" s="10">
        <v>5.57</v>
      </c>
      <c r="G628" s="10">
        <v>3.58</v>
      </c>
      <c r="H628" s="10">
        <v>1.88</v>
      </c>
      <c r="I628" s="8">
        <f t="shared" si="31"/>
        <v>2.7759177599999996</v>
      </c>
      <c r="K628" s="8">
        <f t="shared" si="33"/>
        <v>3.9065957304519769</v>
      </c>
      <c r="L628" s="8">
        <f t="shared" si="32"/>
        <v>1.9532978652259885</v>
      </c>
    </row>
    <row r="629" spans="1:12" x14ac:dyDescent="0.25">
      <c r="A629" s="1">
        <v>628</v>
      </c>
      <c r="B629" s="1">
        <v>520</v>
      </c>
      <c r="C629" s="3" t="s">
        <v>49</v>
      </c>
      <c r="D629" s="5" t="s">
        <v>23</v>
      </c>
      <c r="E629" s="10">
        <v>1.85</v>
      </c>
      <c r="F629" s="10">
        <v>5.42</v>
      </c>
      <c r="G629" s="10">
        <f>F629-2</f>
        <v>3.42</v>
      </c>
      <c r="H629" s="10">
        <v>1.84</v>
      </c>
      <c r="I629" s="8">
        <f t="shared" si="31"/>
        <v>2.65905024</v>
      </c>
      <c r="K629" s="8">
        <f t="shared" si="33"/>
        <v>3.5548699349452444</v>
      </c>
      <c r="L629" s="8">
        <f t="shared" si="32"/>
        <v>1.7774349674726222</v>
      </c>
    </row>
    <row r="630" spans="1:12" x14ac:dyDescent="0.25">
      <c r="A630" s="1">
        <v>629</v>
      </c>
      <c r="B630" s="1">
        <v>521</v>
      </c>
      <c r="C630" s="3" t="s">
        <v>49</v>
      </c>
      <c r="D630" s="5" t="s">
        <v>23</v>
      </c>
      <c r="E630" s="10">
        <v>1.65</v>
      </c>
      <c r="F630" s="10">
        <v>6.73</v>
      </c>
      <c r="G630" s="10">
        <f>F630-2</f>
        <v>4.7300000000000004</v>
      </c>
      <c r="H630" s="10">
        <v>2.0099999999999998</v>
      </c>
      <c r="I630" s="8">
        <f t="shared" si="31"/>
        <v>3.1730945399999992</v>
      </c>
      <c r="K630" s="8">
        <f t="shared" si="33"/>
        <v>6.9412359837100812</v>
      </c>
      <c r="L630" s="8">
        <f t="shared" si="32"/>
        <v>3.4706179918550406</v>
      </c>
    </row>
    <row r="631" spans="1:12" x14ac:dyDescent="0.25">
      <c r="A631" s="1">
        <v>630</v>
      </c>
      <c r="B631" s="1">
        <v>522</v>
      </c>
      <c r="C631" s="3" t="s">
        <v>49</v>
      </c>
      <c r="D631" s="5" t="s">
        <v>23</v>
      </c>
      <c r="E631" s="10">
        <v>1.95</v>
      </c>
      <c r="F631" s="10">
        <v>6.12</v>
      </c>
      <c r="G631" s="10">
        <f>F631-2</f>
        <v>4.12</v>
      </c>
      <c r="H631" s="10">
        <v>1.82</v>
      </c>
      <c r="I631" s="8">
        <f t="shared" si="31"/>
        <v>2.6015589600000002</v>
      </c>
      <c r="K631" s="8">
        <f t="shared" si="33"/>
        <v>5.2203695871628453</v>
      </c>
      <c r="L631" s="8">
        <f t="shared" si="32"/>
        <v>2.6101847935814226</v>
      </c>
    </row>
    <row r="632" spans="1:12" x14ac:dyDescent="0.25">
      <c r="A632" s="1">
        <v>631</v>
      </c>
      <c r="B632" s="1">
        <v>523</v>
      </c>
      <c r="C632" s="3" t="s">
        <v>49</v>
      </c>
      <c r="D632" s="5" t="s">
        <v>23</v>
      </c>
      <c r="E632" s="10">
        <v>2.15</v>
      </c>
      <c r="F632" s="10">
        <v>11.1</v>
      </c>
      <c r="G632" s="10">
        <v>9.77</v>
      </c>
      <c r="H632" s="10">
        <v>1.96</v>
      </c>
      <c r="I632" s="8">
        <f t="shared" si="31"/>
        <v>3.0171926399999998</v>
      </c>
      <c r="K632" s="8">
        <f t="shared" si="33"/>
        <v>31.010464952598102</v>
      </c>
      <c r="L632" s="8">
        <f t="shared" si="32"/>
        <v>15.505232476299051</v>
      </c>
    </row>
    <row r="633" spans="1:12" x14ac:dyDescent="0.25">
      <c r="A633" s="1">
        <v>632</v>
      </c>
      <c r="B633" s="1">
        <v>524</v>
      </c>
      <c r="C633" s="3" t="s">
        <v>49</v>
      </c>
      <c r="D633" s="5" t="s">
        <v>23</v>
      </c>
      <c r="E633" s="10">
        <v>1.56</v>
      </c>
      <c r="F633" s="10">
        <v>6.53</v>
      </c>
      <c r="G633" s="10">
        <v>5.92</v>
      </c>
      <c r="H633" s="10">
        <v>1.84</v>
      </c>
      <c r="I633" s="8">
        <f t="shared" si="31"/>
        <v>2.65905024</v>
      </c>
      <c r="K633" s="8">
        <f t="shared" si="33"/>
        <v>11.029267940711481</v>
      </c>
      <c r="L633" s="8">
        <f t="shared" si="32"/>
        <v>5.5146339703557405</v>
      </c>
    </row>
    <row r="634" spans="1:12" x14ac:dyDescent="0.25">
      <c r="A634" s="1">
        <v>633</v>
      </c>
      <c r="B634" s="1">
        <v>525</v>
      </c>
      <c r="C634" s="3" t="s">
        <v>49</v>
      </c>
      <c r="D634" s="5" t="s">
        <v>23</v>
      </c>
      <c r="E634" s="10">
        <v>1.71</v>
      </c>
      <c r="F634" s="10">
        <v>11.83</v>
      </c>
      <c r="G634" s="10">
        <v>9.89</v>
      </c>
      <c r="H634" s="10">
        <v>1.71</v>
      </c>
      <c r="I634" s="8">
        <f t="shared" si="31"/>
        <v>2.2965881399999999</v>
      </c>
      <c r="K634" s="8">
        <f t="shared" si="33"/>
        <v>31.801557718579058</v>
      </c>
      <c r="L634" s="8">
        <f t="shared" si="32"/>
        <v>15.900778859289529</v>
      </c>
    </row>
    <row r="635" spans="1:12" x14ac:dyDescent="0.25">
      <c r="A635" s="1">
        <v>634</v>
      </c>
      <c r="B635" s="1">
        <v>526</v>
      </c>
      <c r="C635" s="3" t="s">
        <v>49</v>
      </c>
      <c r="D635" s="5" t="s">
        <v>23</v>
      </c>
      <c r="E635" s="10">
        <v>1.52</v>
      </c>
      <c r="F635" s="10">
        <v>7.36</v>
      </c>
      <c r="G635" s="10">
        <f>F635-2</f>
        <v>5.36</v>
      </c>
      <c r="H635" s="10">
        <v>1.74</v>
      </c>
      <c r="I635" s="8">
        <f t="shared" si="31"/>
        <v>2.37787704</v>
      </c>
      <c r="K635" s="8">
        <f t="shared" si="33"/>
        <v>8.9844684746051691</v>
      </c>
      <c r="L635" s="8">
        <f t="shared" si="32"/>
        <v>4.4922342373025845</v>
      </c>
    </row>
    <row r="636" spans="1:12" x14ac:dyDescent="0.25">
      <c r="A636" s="1">
        <v>635</v>
      </c>
      <c r="B636" s="1">
        <v>527</v>
      </c>
      <c r="C636" s="3" t="s">
        <v>49</v>
      </c>
      <c r="D636" s="5" t="s">
        <v>23</v>
      </c>
      <c r="E636" s="10">
        <v>2.14</v>
      </c>
      <c r="F636" s="10">
        <v>6.27</v>
      </c>
      <c r="G636" s="10">
        <f>F636-2</f>
        <v>4.2699999999999996</v>
      </c>
      <c r="H636" s="10">
        <v>1.81</v>
      </c>
      <c r="I636" s="8">
        <f t="shared" si="31"/>
        <v>2.5730489400000001</v>
      </c>
      <c r="K636" s="8">
        <f t="shared" si="33"/>
        <v>5.6201611138593677</v>
      </c>
      <c r="L636" s="8">
        <f t="shared" si="32"/>
        <v>2.8100805569296838</v>
      </c>
    </row>
    <row r="637" spans="1:12" x14ac:dyDescent="0.25">
      <c r="A637" s="1">
        <v>636</v>
      </c>
      <c r="B637" s="1">
        <v>528</v>
      </c>
      <c r="C637" s="3" t="s">
        <v>49</v>
      </c>
      <c r="D637" s="5" t="s">
        <v>23</v>
      </c>
      <c r="E637" s="10">
        <v>1.61</v>
      </c>
      <c r="F637" s="10">
        <v>10.53</v>
      </c>
      <c r="G637" s="10">
        <v>4.16</v>
      </c>
      <c r="H637" s="10">
        <v>1.69</v>
      </c>
      <c r="I637" s="8">
        <f t="shared" si="31"/>
        <v>2.2431809399999998</v>
      </c>
      <c r="K637" s="8">
        <f t="shared" si="33"/>
        <v>5.3254944124454946</v>
      </c>
      <c r="L637" s="8">
        <f t="shared" si="32"/>
        <v>2.6627472062227473</v>
      </c>
    </row>
    <row r="638" spans="1:12" x14ac:dyDescent="0.25">
      <c r="A638" s="1">
        <v>637</v>
      </c>
      <c r="B638" s="1">
        <v>529</v>
      </c>
      <c r="C638" s="3" t="s">
        <v>49</v>
      </c>
      <c r="D638" s="5" t="s">
        <v>23</v>
      </c>
      <c r="E638" s="10">
        <v>2.3199999999999998</v>
      </c>
      <c r="F638" s="10">
        <v>9.61</v>
      </c>
      <c r="G638" s="10">
        <v>9.17</v>
      </c>
      <c r="H638" s="10">
        <v>1.82</v>
      </c>
      <c r="I638" s="8">
        <f t="shared" si="31"/>
        <v>2.6015589600000002</v>
      </c>
      <c r="K638" s="8">
        <f t="shared" si="33"/>
        <v>27.208836425962541</v>
      </c>
      <c r="L638" s="8">
        <f t="shared" si="32"/>
        <v>13.604418212981271</v>
      </c>
    </row>
    <row r="639" spans="1:12" x14ac:dyDescent="0.25">
      <c r="A639" s="1">
        <v>638</v>
      </c>
      <c r="B639" s="1">
        <v>530</v>
      </c>
      <c r="C639" s="3" t="s">
        <v>49</v>
      </c>
      <c r="D639" s="5" t="s">
        <v>23</v>
      </c>
      <c r="E639" s="10">
        <v>2.4</v>
      </c>
      <c r="F639" s="10">
        <v>8.49</v>
      </c>
      <c r="G639" s="10">
        <v>5.99</v>
      </c>
      <c r="H639" s="10">
        <v>1.82</v>
      </c>
      <c r="I639" s="8">
        <f t="shared" si="31"/>
        <v>2.6015589600000002</v>
      </c>
      <c r="K639" s="8">
        <f t="shared" si="33"/>
        <v>11.300068954356874</v>
      </c>
      <c r="L639" s="8">
        <f t="shared" si="32"/>
        <v>5.650034477178437</v>
      </c>
    </row>
    <row r="640" spans="1:12" x14ac:dyDescent="0.25">
      <c r="A640" s="1">
        <v>639</v>
      </c>
      <c r="B640" s="1">
        <v>531</v>
      </c>
      <c r="C640" s="3" t="s">
        <v>49</v>
      </c>
      <c r="D640" s="5" t="s">
        <v>23</v>
      </c>
      <c r="E640" s="10">
        <v>1.1399999999999999</v>
      </c>
      <c r="F640" s="10">
        <v>8.89</v>
      </c>
      <c r="G640" s="10">
        <v>4.1399999999999997</v>
      </c>
      <c r="H640" s="10">
        <v>1.99</v>
      </c>
      <c r="I640" s="8">
        <f t="shared" si="31"/>
        <v>3.1102625399999999</v>
      </c>
      <c r="K640" s="8">
        <f t="shared" si="33"/>
        <v>5.2727969753966901</v>
      </c>
      <c r="L640" s="8">
        <f t="shared" si="32"/>
        <v>2.6363984876983451</v>
      </c>
    </row>
    <row r="641" spans="1:12" x14ac:dyDescent="0.25">
      <c r="A641" s="1">
        <v>640</v>
      </c>
      <c r="B641" s="1">
        <v>532</v>
      </c>
      <c r="C641" s="3" t="s">
        <v>49</v>
      </c>
      <c r="D641" s="5" t="s">
        <v>23</v>
      </c>
      <c r="E641" s="10">
        <v>2.25</v>
      </c>
      <c r="F641" s="10">
        <v>10.029999999999999</v>
      </c>
      <c r="G641" s="10">
        <v>3.09</v>
      </c>
      <c r="H641" s="10">
        <v>1.96</v>
      </c>
      <c r="I641" s="8">
        <f t="shared" si="31"/>
        <v>3.0171926399999998</v>
      </c>
      <c r="K641" s="8">
        <f t="shared" si="33"/>
        <v>2.8833022302541975</v>
      </c>
      <c r="L641" s="8">
        <f t="shared" si="32"/>
        <v>1.4416511151270988</v>
      </c>
    </row>
    <row r="642" spans="1:12" x14ac:dyDescent="0.25">
      <c r="A642" s="1">
        <v>641</v>
      </c>
      <c r="B642" s="1">
        <v>533</v>
      </c>
      <c r="C642" s="3" t="s">
        <v>49</v>
      </c>
      <c r="D642" s="5" t="s">
        <v>23</v>
      </c>
      <c r="E642" s="10">
        <v>1.27</v>
      </c>
      <c r="F642" s="10">
        <v>6.6</v>
      </c>
      <c r="G642" s="10">
        <f>F642-2</f>
        <v>4.5999999999999996</v>
      </c>
      <c r="H642" s="10">
        <v>1.99</v>
      </c>
      <c r="I642" s="8">
        <f t="shared" si="31"/>
        <v>3.1102625399999999</v>
      </c>
      <c r="K642" s="8">
        <f t="shared" si="33"/>
        <v>6.5533238647006211</v>
      </c>
      <c r="L642" s="8">
        <f t="shared" si="32"/>
        <v>3.2766619323503106</v>
      </c>
    </row>
    <row r="643" spans="1:12" x14ac:dyDescent="0.25">
      <c r="A643" s="1">
        <v>642</v>
      </c>
      <c r="B643" s="1">
        <v>534</v>
      </c>
      <c r="C643" s="3" t="s">
        <v>49</v>
      </c>
      <c r="D643" s="5" t="s">
        <v>23</v>
      </c>
      <c r="E643" s="10">
        <v>1.81</v>
      </c>
      <c r="F643" s="10">
        <v>11.97</v>
      </c>
      <c r="G643" s="10">
        <v>6.69</v>
      </c>
      <c r="H643" s="10">
        <v>1.9</v>
      </c>
      <c r="I643" s="8">
        <f t="shared" ref="I643:I706" si="34">0.7854*H643^2</f>
        <v>2.8352939999999998</v>
      </c>
      <c r="K643" s="8">
        <f t="shared" si="33"/>
        <v>14.194746455341846</v>
      </c>
      <c r="L643" s="8">
        <f t="shared" ref="L643:L706" si="35">K643*0.5</f>
        <v>7.0973732276709232</v>
      </c>
    </row>
    <row r="644" spans="1:12" x14ac:dyDescent="0.25">
      <c r="A644" s="1">
        <v>643</v>
      </c>
      <c r="B644" s="1">
        <v>535</v>
      </c>
      <c r="C644" s="3" t="s">
        <v>49</v>
      </c>
      <c r="D644" s="5" t="s">
        <v>23</v>
      </c>
      <c r="E644" s="10">
        <v>2.09</v>
      </c>
      <c r="F644" s="10">
        <v>11.82</v>
      </c>
      <c r="G644" s="10">
        <v>8.0399999999999991</v>
      </c>
      <c r="H644" s="10">
        <v>1.77</v>
      </c>
      <c r="I644" s="8">
        <f t="shared" si="34"/>
        <v>2.4605796600000001</v>
      </c>
      <c r="K644" s="8">
        <f t="shared" si="33"/>
        <v>20.742290015160979</v>
      </c>
      <c r="L644" s="8">
        <f t="shared" si="35"/>
        <v>10.371145007580489</v>
      </c>
    </row>
    <row r="645" spans="1:12" x14ac:dyDescent="0.25">
      <c r="A645" s="1">
        <v>644</v>
      </c>
      <c r="B645" s="1">
        <v>536</v>
      </c>
      <c r="C645" s="3" t="s">
        <v>49</v>
      </c>
      <c r="D645" s="5" t="s">
        <v>23</v>
      </c>
      <c r="E645" s="10">
        <v>1.82</v>
      </c>
      <c r="F645" s="10">
        <v>9.5500000000000007</v>
      </c>
      <c r="G645" s="10">
        <v>9.23</v>
      </c>
      <c r="H645" s="10">
        <v>2.0699999999999998</v>
      </c>
      <c r="I645" s="8">
        <f t="shared" si="34"/>
        <v>3.3653604599999993</v>
      </c>
      <c r="K645" s="8">
        <f t="shared" si="33"/>
        <v>27.577478563442824</v>
      </c>
      <c r="L645" s="8">
        <f t="shared" si="35"/>
        <v>13.788739281721412</v>
      </c>
    </row>
    <row r="646" spans="1:12" x14ac:dyDescent="0.25">
      <c r="A646" s="1">
        <v>645</v>
      </c>
      <c r="B646" s="1">
        <v>537</v>
      </c>
      <c r="C646" s="3" t="s">
        <v>49</v>
      </c>
      <c r="D646" s="5" t="s">
        <v>23</v>
      </c>
      <c r="E646" s="10">
        <v>2.23</v>
      </c>
      <c r="F646" s="10">
        <v>6.4</v>
      </c>
      <c r="G646" s="10">
        <v>3.56</v>
      </c>
      <c r="H646" s="10">
        <v>1.93</v>
      </c>
      <c r="I646" s="8">
        <f t="shared" si="34"/>
        <v>2.92553646</v>
      </c>
      <c r="K646" s="8">
        <f t="shared" si="33"/>
        <v>3.8616945249882639</v>
      </c>
      <c r="L646" s="8">
        <f t="shared" si="35"/>
        <v>1.930847262494132</v>
      </c>
    </row>
    <row r="647" spans="1:12" x14ac:dyDescent="0.25">
      <c r="A647" s="1">
        <v>646</v>
      </c>
      <c r="B647" s="1">
        <v>538</v>
      </c>
      <c r="C647" s="3" t="s">
        <v>49</v>
      </c>
      <c r="D647" s="5" t="s">
        <v>23</v>
      </c>
      <c r="E647" s="10">
        <v>1.73</v>
      </c>
      <c r="F647" s="10">
        <v>9.76</v>
      </c>
      <c r="G647" s="10">
        <v>8.1199999999999992</v>
      </c>
      <c r="H647" s="10">
        <v>1.96</v>
      </c>
      <c r="I647" s="8">
        <f t="shared" si="34"/>
        <v>3.0171926399999998</v>
      </c>
      <c r="K647" s="8">
        <f t="shared" si="33"/>
        <v>21.170431595512156</v>
      </c>
      <c r="L647" s="8">
        <f t="shared" si="35"/>
        <v>10.585215797756078</v>
      </c>
    </row>
    <row r="648" spans="1:12" x14ac:dyDescent="0.25">
      <c r="A648" s="1">
        <v>647</v>
      </c>
      <c r="B648" s="1">
        <v>539</v>
      </c>
      <c r="C648" s="3" t="s">
        <v>49</v>
      </c>
      <c r="D648" s="5" t="s">
        <v>23</v>
      </c>
      <c r="E648" s="10">
        <v>2.09</v>
      </c>
      <c r="F648" s="10">
        <v>5.51</v>
      </c>
      <c r="G648" s="10">
        <v>4.3099999999999996</v>
      </c>
      <c r="H648" s="10">
        <v>2</v>
      </c>
      <c r="I648" s="8">
        <f t="shared" si="34"/>
        <v>3.1415999999999999</v>
      </c>
      <c r="K648" s="8">
        <f t="shared" si="33"/>
        <v>5.729341278940832</v>
      </c>
      <c r="L648" s="8">
        <f t="shared" si="35"/>
        <v>2.864670639470416</v>
      </c>
    </row>
    <row r="649" spans="1:12" x14ac:dyDescent="0.25">
      <c r="A649" s="1">
        <v>648</v>
      </c>
      <c r="B649" s="1">
        <v>540</v>
      </c>
      <c r="C649" s="3" t="s">
        <v>49</v>
      </c>
      <c r="D649" s="5" t="s">
        <v>23</v>
      </c>
      <c r="E649" s="10">
        <v>1.8</v>
      </c>
      <c r="F649" s="10">
        <v>5.21</v>
      </c>
      <c r="G649" s="10">
        <f>F649-2</f>
        <v>3.21</v>
      </c>
      <c r="H649" s="10">
        <v>1.97</v>
      </c>
      <c r="I649" s="8">
        <f t="shared" si="34"/>
        <v>3.0480588599999998</v>
      </c>
      <c r="K649" s="8">
        <f t="shared" si="33"/>
        <v>3.1191336211248299</v>
      </c>
      <c r="L649" s="8">
        <f t="shared" si="35"/>
        <v>1.559566810562415</v>
      </c>
    </row>
    <row r="650" spans="1:12" x14ac:dyDescent="0.25">
      <c r="A650" s="1">
        <v>649</v>
      </c>
      <c r="B650" s="1">
        <v>541</v>
      </c>
      <c r="C650" s="3" t="s">
        <v>49</v>
      </c>
      <c r="D650" s="5" t="s">
        <v>23</v>
      </c>
      <c r="E650" s="10">
        <v>1.63</v>
      </c>
      <c r="F650" s="10">
        <v>6.8</v>
      </c>
      <c r="G650" s="10">
        <f>F650-2</f>
        <v>4.8</v>
      </c>
      <c r="H650" s="10">
        <v>1.81</v>
      </c>
      <c r="I650" s="8">
        <f t="shared" si="34"/>
        <v>2.5730489400000001</v>
      </c>
      <c r="K650" s="8">
        <f t="shared" si="33"/>
        <v>7.1548764523700212</v>
      </c>
      <c r="L650" s="8">
        <f t="shared" si="35"/>
        <v>3.5774382261850106</v>
      </c>
    </row>
    <row r="651" spans="1:12" x14ac:dyDescent="0.25">
      <c r="A651" s="1">
        <v>650</v>
      </c>
      <c r="B651" s="1">
        <v>542</v>
      </c>
      <c r="C651" s="3" t="s">
        <v>49</v>
      </c>
      <c r="D651" s="5" t="s">
        <v>23</v>
      </c>
      <c r="E651" s="10">
        <v>2.34</v>
      </c>
      <c r="F651" s="10">
        <v>8.24</v>
      </c>
      <c r="G651" s="10">
        <v>6.79</v>
      </c>
      <c r="H651" s="10">
        <v>1.76</v>
      </c>
      <c r="I651" s="8">
        <f t="shared" si="34"/>
        <v>2.4328550399999997</v>
      </c>
      <c r="K651" s="8">
        <f t="shared" si="33"/>
        <v>14.636058100707912</v>
      </c>
      <c r="L651" s="8">
        <f t="shared" si="35"/>
        <v>7.3180290503539558</v>
      </c>
    </row>
    <row r="652" spans="1:12" x14ac:dyDescent="0.25">
      <c r="A652" s="1">
        <v>651</v>
      </c>
      <c r="B652" s="1">
        <v>543</v>
      </c>
      <c r="C652" s="3" t="s">
        <v>49</v>
      </c>
      <c r="D652" s="5" t="s">
        <v>23</v>
      </c>
      <c r="E652" s="10">
        <v>1.81</v>
      </c>
      <c r="F652" s="10">
        <v>11.08</v>
      </c>
      <c r="G652" s="10">
        <v>7.97</v>
      </c>
      <c r="H652" s="10">
        <v>1.82</v>
      </c>
      <c r="I652" s="8">
        <f t="shared" si="34"/>
        <v>2.6015589600000002</v>
      </c>
      <c r="K652" s="8">
        <f t="shared" si="33"/>
        <v>20.371363197636004</v>
      </c>
      <c r="L652" s="8">
        <f t="shared" si="35"/>
        <v>10.185681598818002</v>
      </c>
    </row>
    <row r="653" spans="1:12" x14ac:dyDescent="0.25">
      <c r="A653" s="1">
        <v>652</v>
      </c>
      <c r="B653" s="1">
        <v>544</v>
      </c>
      <c r="C653" s="3" t="s">
        <v>49</v>
      </c>
      <c r="D653" s="5" t="s">
        <v>23</v>
      </c>
      <c r="E653" s="10">
        <v>1.47</v>
      </c>
      <c r="F653" s="10">
        <v>10.09</v>
      </c>
      <c r="G653" s="10">
        <v>5.2</v>
      </c>
      <c r="H653" s="10">
        <v>1.96</v>
      </c>
      <c r="I653" s="8">
        <f t="shared" si="34"/>
        <v>3.0171926399999998</v>
      </c>
      <c r="K653" s="8">
        <f t="shared" si="33"/>
        <v>8.4398308997280953</v>
      </c>
      <c r="L653" s="8">
        <f t="shared" si="35"/>
        <v>4.2199154498640477</v>
      </c>
    </row>
    <row r="654" spans="1:12" x14ac:dyDescent="0.25">
      <c r="A654" s="1">
        <v>653</v>
      </c>
      <c r="B654" s="1">
        <v>545</v>
      </c>
      <c r="C654" s="3" t="s">
        <v>49</v>
      </c>
      <c r="D654" s="5" t="s">
        <v>23</v>
      </c>
      <c r="E654" s="10">
        <v>1.99</v>
      </c>
      <c r="F654" s="10">
        <v>10.199999999999999</v>
      </c>
      <c r="G654" s="10">
        <v>6.3</v>
      </c>
      <c r="H654" s="10">
        <v>2.08</v>
      </c>
      <c r="I654" s="8">
        <f t="shared" si="34"/>
        <v>3.3979545600000005</v>
      </c>
      <c r="K654" s="8">
        <f t="shared" si="33"/>
        <v>12.54007313651903</v>
      </c>
      <c r="L654" s="8">
        <f t="shared" si="35"/>
        <v>6.2700365682595152</v>
      </c>
    </row>
    <row r="655" spans="1:12" x14ac:dyDescent="0.25">
      <c r="A655" s="1">
        <v>654</v>
      </c>
      <c r="B655" s="1">
        <v>546</v>
      </c>
      <c r="C655" s="3" t="s">
        <v>49</v>
      </c>
      <c r="D655" s="5" t="s">
        <v>23</v>
      </c>
      <c r="E655" s="10">
        <v>2.02</v>
      </c>
      <c r="F655" s="10">
        <v>7.98</v>
      </c>
      <c r="G655" s="10">
        <f>F655-2</f>
        <v>5.98</v>
      </c>
      <c r="H655" s="10">
        <v>1.77</v>
      </c>
      <c r="I655" s="8">
        <f t="shared" si="34"/>
        <v>2.4605796600000001</v>
      </c>
      <c r="K655" s="8">
        <f t="shared" si="33"/>
        <v>11.261175810425993</v>
      </c>
      <c r="L655" s="8">
        <f t="shared" si="35"/>
        <v>5.6305879052129963</v>
      </c>
    </row>
    <row r="656" spans="1:12" x14ac:dyDescent="0.25">
      <c r="A656" s="1">
        <v>655</v>
      </c>
      <c r="B656" s="1">
        <v>547</v>
      </c>
      <c r="C656" s="3" t="s">
        <v>49</v>
      </c>
      <c r="D656" s="5" t="s">
        <v>23</v>
      </c>
      <c r="E656" s="10">
        <v>2.19</v>
      </c>
      <c r="F656" s="10">
        <v>7.42</v>
      </c>
      <c r="G656" s="10">
        <v>6.21</v>
      </c>
      <c r="H656" s="10">
        <v>2.04</v>
      </c>
      <c r="I656" s="8">
        <f t="shared" si="34"/>
        <v>3.2685206399999998</v>
      </c>
      <c r="K656" s="8">
        <f t="shared" si="33"/>
        <v>12.173216964796378</v>
      </c>
      <c r="L656" s="8">
        <f t="shared" si="35"/>
        <v>6.086608482398189</v>
      </c>
    </row>
    <row r="657" spans="1:12" x14ac:dyDescent="0.25">
      <c r="A657" s="1">
        <v>656</v>
      </c>
      <c r="B657" s="1">
        <v>548</v>
      </c>
      <c r="C657" s="3" t="s">
        <v>49</v>
      </c>
      <c r="D657" s="5" t="s">
        <v>23</v>
      </c>
      <c r="E657" s="10">
        <v>2.39</v>
      </c>
      <c r="F657" s="10">
        <v>7.6</v>
      </c>
      <c r="G657" s="10">
        <v>5.5</v>
      </c>
      <c r="H657" s="10">
        <v>1.78</v>
      </c>
      <c r="I657" s="8">
        <f t="shared" si="34"/>
        <v>2.4884613600000001</v>
      </c>
      <c r="K657" s="8">
        <f t="shared" si="33"/>
        <v>9.4754371514873696</v>
      </c>
      <c r="L657" s="8">
        <f t="shared" si="35"/>
        <v>4.7377185757436848</v>
      </c>
    </row>
    <row r="658" spans="1:12" x14ac:dyDescent="0.25">
      <c r="A658" s="1">
        <v>657</v>
      </c>
      <c r="B658" s="1">
        <v>549</v>
      </c>
      <c r="C658" s="3" t="s">
        <v>49</v>
      </c>
      <c r="D658" s="5" t="s">
        <v>23</v>
      </c>
      <c r="E658" s="10">
        <v>2.34</v>
      </c>
      <c r="F658" s="10">
        <v>11.91</v>
      </c>
      <c r="G658" s="10">
        <v>6.46</v>
      </c>
      <c r="H658" s="10">
        <v>1.87</v>
      </c>
      <c r="I658" s="8">
        <f t="shared" si="34"/>
        <v>2.7464652600000004</v>
      </c>
      <c r="K658" s="8">
        <f t="shared" si="33"/>
        <v>13.206132383245722</v>
      </c>
      <c r="L658" s="8">
        <f t="shared" si="35"/>
        <v>6.6030661916228608</v>
      </c>
    </row>
    <row r="659" spans="1:12" x14ac:dyDescent="0.25">
      <c r="A659" s="1">
        <v>658</v>
      </c>
      <c r="B659" s="1">
        <v>550</v>
      </c>
      <c r="C659" s="3" t="s">
        <v>49</v>
      </c>
      <c r="D659" s="5" t="s">
        <v>23</v>
      </c>
      <c r="E659" s="10">
        <v>1.98</v>
      </c>
      <c r="F659" s="10">
        <v>5.28</v>
      </c>
      <c r="G659" s="10">
        <f>F659-2</f>
        <v>3.2800000000000002</v>
      </c>
      <c r="H659" s="10">
        <v>1.89</v>
      </c>
      <c r="I659" s="8">
        <f t="shared" si="34"/>
        <v>2.8055273399999998</v>
      </c>
      <c r="K659" s="8">
        <f t="shared" si="33"/>
        <v>3.2611180641554287</v>
      </c>
      <c r="L659" s="8">
        <f t="shared" si="35"/>
        <v>1.6305590320777144</v>
      </c>
    </row>
    <row r="660" spans="1:12" x14ac:dyDescent="0.25">
      <c r="A660" s="1">
        <v>659</v>
      </c>
      <c r="B660" s="1">
        <v>551</v>
      </c>
      <c r="C660" s="3" t="s">
        <v>49</v>
      </c>
      <c r="D660" s="5" t="s">
        <v>23</v>
      </c>
      <c r="E660" s="10">
        <v>1.97</v>
      </c>
      <c r="F660" s="10">
        <v>11.07</v>
      </c>
      <c r="G660" s="10">
        <v>5.35</v>
      </c>
      <c r="H660" s="10">
        <v>2.0699999999999998</v>
      </c>
      <c r="I660" s="8">
        <f t="shared" si="34"/>
        <v>3.3653604599999993</v>
      </c>
      <c r="K660" s="8">
        <f t="shared" si="33"/>
        <v>8.9499142601004511</v>
      </c>
      <c r="L660" s="8">
        <f t="shared" si="35"/>
        <v>4.4749571300502256</v>
      </c>
    </row>
    <row r="661" spans="1:12" x14ac:dyDescent="0.25">
      <c r="A661" s="1">
        <v>660</v>
      </c>
      <c r="B661" s="1">
        <v>552</v>
      </c>
      <c r="C661" s="3" t="s">
        <v>49</v>
      </c>
      <c r="D661" s="5" t="s">
        <v>23</v>
      </c>
      <c r="E661" s="10">
        <v>2.36</v>
      </c>
      <c r="F661" s="10">
        <v>9.0500000000000007</v>
      </c>
      <c r="G661" s="10">
        <v>4.22</v>
      </c>
      <c r="H661" s="10">
        <v>2</v>
      </c>
      <c r="I661" s="8">
        <f t="shared" si="34"/>
        <v>3.1415999999999999</v>
      </c>
      <c r="K661" s="8">
        <f t="shared" si="33"/>
        <v>5.4852078411739926</v>
      </c>
      <c r="L661" s="8">
        <f t="shared" si="35"/>
        <v>2.7426039205869963</v>
      </c>
    </row>
    <row r="662" spans="1:12" x14ac:dyDescent="0.25">
      <c r="A662" s="1">
        <v>661</v>
      </c>
      <c r="B662" s="1">
        <v>553</v>
      </c>
      <c r="C662" s="3" t="s">
        <v>49</v>
      </c>
      <c r="D662" s="5" t="s">
        <v>23</v>
      </c>
      <c r="E662" s="10">
        <v>2.11</v>
      </c>
      <c r="F662" s="10">
        <v>8.07</v>
      </c>
      <c r="G662" s="10">
        <f>F662-2</f>
        <v>6.07</v>
      </c>
      <c r="H662" s="10">
        <v>2.0299999999999998</v>
      </c>
      <c r="I662" s="8">
        <f t="shared" si="34"/>
        <v>3.2365548599999991</v>
      </c>
      <c r="K662" s="8">
        <f t="shared" si="33"/>
        <v>11.613702842717188</v>
      </c>
      <c r="L662" s="8">
        <f t="shared" si="35"/>
        <v>5.8068514213585942</v>
      </c>
    </row>
    <row r="663" spans="1:12" x14ac:dyDescent="0.25">
      <c r="A663" s="1">
        <v>662</v>
      </c>
      <c r="B663" s="1">
        <v>554</v>
      </c>
      <c r="C663" s="3" t="s">
        <v>49</v>
      </c>
      <c r="D663" s="5" t="s">
        <v>23</v>
      </c>
      <c r="E663" s="10">
        <v>1.54</v>
      </c>
      <c r="F663" s="10">
        <v>10.08</v>
      </c>
      <c r="G663" s="10">
        <v>8.7799999999999994</v>
      </c>
      <c r="H663" s="10">
        <v>1.89</v>
      </c>
      <c r="I663" s="8">
        <f t="shared" si="34"/>
        <v>2.8055273399999998</v>
      </c>
      <c r="K663" s="8">
        <f t="shared" si="33"/>
        <v>24.87492495386325</v>
      </c>
      <c r="L663" s="8">
        <f t="shared" si="35"/>
        <v>12.437462476931625</v>
      </c>
    </row>
    <row r="664" spans="1:12" x14ac:dyDescent="0.25">
      <c r="A664" s="1">
        <v>663</v>
      </c>
      <c r="B664" s="1">
        <v>555</v>
      </c>
      <c r="C664" s="3" t="s">
        <v>49</v>
      </c>
      <c r="D664" s="5" t="s">
        <v>23</v>
      </c>
      <c r="E664" s="10">
        <v>1.79</v>
      </c>
      <c r="F664" s="10">
        <v>8.41</v>
      </c>
      <c r="G664" s="10">
        <v>3.7</v>
      </c>
      <c r="H664" s="10">
        <v>2.06</v>
      </c>
      <c r="I664" s="8">
        <f t="shared" si="34"/>
        <v>3.3329234399999996</v>
      </c>
      <c r="K664" s="8">
        <f t="shared" si="33"/>
        <v>4.1816251894568666</v>
      </c>
      <c r="L664" s="8">
        <f t="shared" si="35"/>
        <v>2.0908125947284333</v>
      </c>
    </row>
    <row r="665" spans="1:12" x14ac:dyDescent="0.25">
      <c r="A665" s="1">
        <v>664</v>
      </c>
      <c r="B665" s="1">
        <v>556</v>
      </c>
      <c r="C665" s="3" t="s">
        <v>49</v>
      </c>
      <c r="D665" s="5" t="s">
        <v>23</v>
      </c>
      <c r="E665" s="10">
        <v>1.84</v>
      </c>
      <c r="F665" s="10">
        <v>11.11</v>
      </c>
      <c r="G665" s="10">
        <v>4.68</v>
      </c>
      <c r="H665" s="10">
        <v>1.82</v>
      </c>
      <c r="I665" s="8">
        <f t="shared" si="34"/>
        <v>2.6015589600000002</v>
      </c>
      <c r="K665" s="8">
        <f t="shared" si="33"/>
        <v>6.7906784037719463</v>
      </c>
      <c r="L665" s="8">
        <f t="shared" si="35"/>
        <v>3.3953392018859732</v>
      </c>
    </row>
    <row r="666" spans="1:12" x14ac:dyDescent="0.25">
      <c r="A666" s="1">
        <v>665</v>
      </c>
      <c r="B666" s="1">
        <v>557</v>
      </c>
      <c r="C666" s="3" t="s">
        <v>49</v>
      </c>
      <c r="D666" s="5" t="s">
        <v>23</v>
      </c>
      <c r="E666" s="10">
        <v>2.27</v>
      </c>
      <c r="F666" s="10">
        <v>11.3</v>
      </c>
      <c r="G666" s="10">
        <v>3.99</v>
      </c>
      <c r="H666" s="10">
        <v>1.98</v>
      </c>
      <c r="I666" s="8">
        <f t="shared" si="34"/>
        <v>3.07908216</v>
      </c>
      <c r="K666" s="8">
        <f t="shared" si="33"/>
        <v>4.8861682330583314</v>
      </c>
      <c r="L666" s="8">
        <f t="shared" si="35"/>
        <v>2.4430841165291657</v>
      </c>
    </row>
    <row r="667" spans="1:12" x14ac:dyDescent="0.25">
      <c r="A667" s="1">
        <v>666</v>
      </c>
      <c r="B667" s="1">
        <v>558</v>
      </c>
      <c r="C667" s="3" t="s">
        <v>49</v>
      </c>
      <c r="D667" s="5" t="s">
        <v>23</v>
      </c>
      <c r="E667" s="10">
        <v>2.2599999999999998</v>
      </c>
      <c r="F667" s="10">
        <v>7.95</v>
      </c>
      <c r="G667" s="10">
        <v>5.44</v>
      </c>
      <c r="H667" s="10">
        <v>1.83</v>
      </c>
      <c r="I667" s="8">
        <f t="shared" si="34"/>
        <v>2.6302260600000005</v>
      </c>
      <c r="K667" s="8">
        <f t="shared" si="33"/>
        <v>9.2633734987229399</v>
      </c>
      <c r="L667" s="8">
        <f t="shared" si="35"/>
        <v>4.63168674936147</v>
      </c>
    </row>
    <row r="668" spans="1:12" x14ac:dyDescent="0.25">
      <c r="A668" s="1">
        <v>667</v>
      </c>
      <c r="B668" s="1">
        <v>559</v>
      </c>
      <c r="C668" s="3" t="s">
        <v>49</v>
      </c>
      <c r="D668" s="5" t="s">
        <v>23</v>
      </c>
      <c r="E668" s="10">
        <v>1.64</v>
      </c>
      <c r="F668" s="10">
        <v>6.94</v>
      </c>
      <c r="G668" s="10">
        <v>6.15</v>
      </c>
      <c r="H668" s="10">
        <v>2</v>
      </c>
      <c r="I668" s="8">
        <f t="shared" si="34"/>
        <v>3.1415999999999999</v>
      </c>
      <c r="K668" s="8">
        <f t="shared" si="33"/>
        <v>11.931763785848714</v>
      </c>
      <c r="L668" s="8">
        <f t="shared" si="35"/>
        <v>5.9658818929243571</v>
      </c>
    </row>
    <row r="669" spans="1:12" x14ac:dyDescent="0.25">
      <c r="A669" s="1">
        <v>668</v>
      </c>
      <c r="B669" s="1">
        <v>560</v>
      </c>
      <c r="C669" s="3" t="s">
        <v>49</v>
      </c>
      <c r="D669" s="5" t="s">
        <v>23</v>
      </c>
      <c r="E669" s="10">
        <v>2.35</v>
      </c>
      <c r="F669" s="10">
        <v>9.15</v>
      </c>
      <c r="G669" s="10">
        <v>8.24</v>
      </c>
      <c r="H669" s="10">
        <v>1.9</v>
      </c>
      <c r="I669" s="8">
        <f t="shared" si="34"/>
        <v>2.8352939999999998</v>
      </c>
      <c r="K669" s="8">
        <f t="shared" si="33"/>
        <v>21.82110037122558</v>
      </c>
      <c r="L669" s="8">
        <f t="shared" si="35"/>
        <v>10.91055018561279</v>
      </c>
    </row>
    <row r="670" spans="1:12" x14ac:dyDescent="0.25">
      <c r="A670" s="1">
        <v>669</v>
      </c>
      <c r="B670" s="1">
        <v>561</v>
      </c>
      <c r="C670" s="3" t="s">
        <v>49</v>
      </c>
      <c r="D670" s="5" t="s">
        <v>23</v>
      </c>
      <c r="E670" s="10">
        <v>1.89</v>
      </c>
      <c r="F670" s="10">
        <v>11.39</v>
      </c>
      <c r="G670" s="10">
        <v>7.56</v>
      </c>
      <c r="H670" s="10">
        <v>1.71</v>
      </c>
      <c r="I670" s="8">
        <f t="shared" si="34"/>
        <v>2.2965881399999999</v>
      </c>
      <c r="K670" s="8">
        <f t="shared" si="33"/>
        <v>18.267981815450625</v>
      </c>
      <c r="L670" s="8">
        <f t="shared" si="35"/>
        <v>9.1339909077253125</v>
      </c>
    </row>
    <row r="671" spans="1:12" x14ac:dyDescent="0.25">
      <c r="A671" s="1">
        <v>670</v>
      </c>
      <c r="B671" s="1">
        <v>562</v>
      </c>
      <c r="C671" s="3" t="s">
        <v>49</v>
      </c>
      <c r="D671" s="5" t="s">
        <v>23</v>
      </c>
      <c r="E671" s="10">
        <v>1.21</v>
      </c>
      <c r="F671" s="10">
        <v>6.47</v>
      </c>
      <c r="G671" s="10">
        <f>F671-2</f>
        <v>4.47</v>
      </c>
      <c r="H671" s="10">
        <v>1.86</v>
      </c>
      <c r="I671" s="8">
        <f t="shared" si="34"/>
        <v>2.7171698400000004</v>
      </c>
      <c r="K671" s="8">
        <f t="shared" si="33"/>
        <v>6.1768978543606297</v>
      </c>
      <c r="L671" s="8">
        <f t="shared" si="35"/>
        <v>3.0884489271803148</v>
      </c>
    </row>
    <row r="672" spans="1:12" x14ac:dyDescent="0.25">
      <c r="A672" s="1">
        <v>671</v>
      </c>
      <c r="B672" s="1">
        <v>563</v>
      </c>
      <c r="C672" s="3" t="s">
        <v>49</v>
      </c>
      <c r="D672" s="5" t="s">
        <v>23</v>
      </c>
      <c r="E672" s="10">
        <v>2.31</v>
      </c>
      <c r="F672" s="10">
        <v>9.36</v>
      </c>
      <c r="G672" s="10">
        <v>5.47</v>
      </c>
      <c r="H672" s="10">
        <v>1.81</v>
      </c>
      <c r="I672" s="8">
        <f t="shared" si="34"/>
        <v>2.5730489400000001</v>
      </c>
      <c r="K672" s="8">
        <f t="shared" si="33"/>
        <v>9.3690960980694005</v>
      </c>
      <c r="L672" s="8">
        <f t="shared" si="35"/>
        <v>4.6845480490347002</v>
      </c>
    </row>
    <row r="673" spans="1:12" x14ac:dyDescent="0.25">
      <c r="A673" s="1">
        <v>672</v>
      </c>
      <c r="B673" s="1">
        <v>564</v>
      </c>
      <c r="C673" s="3" t="s">
        <v>49</v>
      </c>
      <c r="D673" s="5" t="s">
        <v>23</v>
      </c>
      <c r="E673" s="10">
        <v>1.72</v>
      </c>
      <c r="F673" s="10">
        <v>9.42</v>
      </c>
      <c r="G673" s="10">
        <v>8.89</v>
      </c>
      <c r="H673" s="10">
        <v>2.0299999999999998</v>
      </c>
      <c r="I673" s="8">
        <f t="shared" si="34"/>
        <v>3.2365548599999991</v>
      </c>
      <c r="K673" s="8">
        <f t="shared" si="33"/>
        <v>25.52228942916258</v>
      </c>
      <c r="L673" s="8">
        <f t="shared" si="35"/>
        <v>12.76114471458129</v>
      </c>
    </row>
    <row r="674" spans="1:12" x14ac:dyDescent="0.25">
      <c r="A674" s="1">
        <v>673</v>
      </c>
      <c r="B674" s="1">
        <v>565</v>
      </c>
      <c r="C674" s="3" t="s">
        <v>49</v>
      </c>
      <c r="D674" s="5" t="s">
        <v>23</v>
      </c>
      <c r="E674" s="10">
        <v>1.1299999999999999</v>
      </c>
      <c r="F674" s="10">
        <v>10.130000000000001</v>
      </c>
      <c r="G674" s="10">
        <v>6.3</v>
      </c>
      <c r="H674" s="10">
        <v>1.7</v>
      </c>
      <c r="I674" s="8">
        <f t="shared" si="34"/>
        <v>2.2698059999999995</v>
      </c>
      <c r="K674" s="8">
        <f t="shared" si="33"/>
        <v>12.54007313651903</v>
      </c>
      <c r="L674" s="8">
        <f t="shared" si="35"/>
        <v>6.2700365682595152</v>
      </c>
    </row>
    <row r="675" spans="1:12" x14ac:dyDescent="0.25">
      <c r="A675" s="1">
        <v>674</v>
      </c>
      <c r="B675" s="1">
        <v>566</v>
      </c>
      <c r="C675" s="3" t="s">
        <v>49</v>
      </c>
      <c r="D675" s="5" t="s">
        <v>23</v>
      </c>
      <c r="E675" s="10">
        <v>2.2799999999999998</v>
      </c>
      <c r="F675" s="10">
        <v>5.92</v>
      </c>
      <c r="G675" s="10">
        <f>F675-2</f>
        <v>3.92</v>
      </c>
      <c r="H675" s="10">
        <v>1.7</v>
      </c>
      <c r="I675" s="8">
        <f t="shared" si="34"/>
        <v>2.2698059999999995</v>
      </c>
      <c r="K675" s="8">
        <f t="shared" si="33"/>
        <v>4.7109299330343282</v>
      </c>
      <c r="L675" s="8">
        <f t="shared" si="35"/>
        <v>2.3554649665171641</v>
      </c>
    </row>
    <row r="676" spans="1:12" x14ac:dyDescent="0.25">
      <c r="A676" s="1">
        <v>675</v>
      </c>
      <c r="B676" s="1">
        <v>567</v>
      </c>
      <c r="C676" s="3" t="s">
        <v>49</v>
      </c>
      <c r="D676" s="5" t="s">
        <v>23</v>
      </c>
      <c r="E676" s="10">
        <v>2.0699999999999998</v>
      </c>
      <c r="F676" s="10">
        <v>10.01</v>
      </c>
      <c r="G676" s="10">
        <v>7.44</v>
      </c>
      <c r="H676" s="10">
        <v>1.8</v>
      </c>
      <c r="I676" s="8">
        <f t="shared" si="34"/>
        <v>2.5446960000000001</v>
      </c>
      <c r="K676" s="8">
        <f t="shared" si="33"/>
        <v>17.674681565461903</v>
      </c>
      <c r="L676" s="8">
        <f t="shared" si="35"/>
        <v>8.8373407827309514</v>
      </c>
    </row>
    <row r="677" spans="1:12" x14ac:dyDescent="0.25">
      <c r="A677" s="1">
        <v>676</v>
      </c>
      <c r="B677" s="1">
        <v>568</v>
      </c>
      <c r="C677" s="3" t="s">
        <v>49</v>
      </c>
      <c r="D677" s="5" t="s">
        <v>23</v>
      </c>
      <c r="E677" s="10">
        <v>1.89</v>
      </c>
      <c r="F677" s="10">
        <v>11.36</v>
      </c>
      <c r="G677" s="10">
        <v>3.88</v>
      </c>
      <c r="H677" s="10">
        <v>1.77</v>
      </c>
      <c r="I677" s="8">
        <f t="shared" si="34"/>
        <v>2.4605796600000001</v>
      </c>
      <c r="K677" s="8">
        <f t="shared" si="33"/>
        <v>4.6122741272078143</v>
      </c>
      <c r="L677" s="8">
        <f t="shared" si="35"/>
        <v>2.3061370636039071</v>
      </c>
    </row>
    <row r="678" spans="1:12" x14ac:dyDescent="0.25">
      <c r="A678" s="1">
        <v>677</v>
      </c>
      <c r="B678" s="1">
        <v>569</v>
      </c>
      <c r="C678" s="3" t="s">
        <v>49</v>
      </c>
      <c r="D678" s="5" t="s">
        <v>23</v>
      </c>
      <c r="E678" s="10">
        <v>1.67</v>
      </c>
      <c r="F678" s="10">
        <v>6.26</v>
      </c>
      <c r="G678" s="10">
        <f>F678-2</f>
        <v>4.26</v>
      </c>
      <c r="H678" s="10">
        <v>2</v>
      </c>
      <c r="I678" s="8">
        <f t="shared" si="34"/>
        <v>3.1415999999999999</v>
      </c>
      <c r="K678" s="8">
        <f t="shared" si="33"/>
        <v>5.5930352098988871</v>
      </c>
      <c r="L678" s="8">
        <f t="shared" si="35"/>
        <v>2.7965176049494436</v>
      </c>
    </row>
    <row r="679" spans="1:12" x14ac:dyDescent="0.25">
      <c r="A679" s="1">
        <v>678</v>
      </c>
      <c r="B679" s="1">
        <v>570</v>
      </c>
      <c r="C679" s="3" t="s">
        <v>49</v>
      </c>
      <c r="D679" s="5" t="s">
        <v>23</v>
      </c>
      <c r="E679" s="10">
        <v>1.49</v>
      </c>
      <c r="F679" s="10">
        <v>6.66</v>
      </c>
      <c r="G679" s="10">
        <v>5.28</v>
      </c>
      <c r="H679" s="10">
        <v>1.88</v>
      </c>
      <c r="I679" s="8">
        <f t="shared" si="34"/>
        <v>2.7759177599999996</v>
      </c>
      <c r="K679" s="8">
        <f t="shared" si="33"/>
        <v>8.709955672374095</v>
      </c>
      <c r="L679" s="8">
        <f t="shared" si="35"/>
        <v>4.3549778361870475</v>
      </c>
    </row>
    <row r="680" spans="1:12" x14ac:dyDescent="0.25">
      <c r="A680" s="1">
        <v>679</v>
      </c>
      <c r="B680" s="1">
        <v>571</v>
      </c>
      <c r="C680" s="3" t="s">
        <v>49</v>
      </c>
      <c r="D680" s="5" t="s">
        <v>23</v>
      </c>
      <c r="E680" s="10">
        <v>2.2200000000000002</v>
      </c>
      <c r="F680" s="10">
        <v>11.8</v>
      </c>
      <c r="G680" s="10">
        <v>7.8</v>
      </c>
      <c r="H680" s="10">
        <v>1.97</v>
      </c>
      <c r="I680" s="8">
        <f t="shared" si="34"/>
        <v>3.0480588599999998</v>
      </c>
      <c r="K680" s="8">
        <f t="shared" si="33"/>
        <v>19.484894481614912</v>
      </c>
      <c r="L680" s="8">
        <f t="shared" si="35"/>
        <v>9.7424472408074561</v>
      </c>
    </row>
    <row r="681" spans="1:12" x14ac:dyDescent="0.25">
      <c r="A681" s="1">
        <v>680</v>
      </c>
      <c r="B681" s="1">
        <v>572</v>
      </c>
      <c r="C681" s="3" t="s">
        <v>49</v>
      </c>
      <c r="D681" s="5" t="s">
        <v>23</v>
      </c>
      <c r="E681" s="10">
        <v>1.84</v>
      </c>
      <c r="F681" s="10">
        <v>6.27</v>
      </c>
      <c r="G681" s="10">
        <v>3.49</v>
      </c>
      <c r="H681" s="10">
        <v>1.9</v>
      </c>
      <c r="I681" s="8">
        <f t="shared" si="34"/>
        <v>2.8352939999999998</v>
      </c>
      <c r="K681" s="8">
        <f t="shared" si="33"/>
        <v>3.7066460259814242</v>
      </c>
      <c r="L681" s="8">
        <f t="shared" si="35"/>
        <v>1.8533230129907121</v>
      </c>
    </row>
    <row r="682" spans="1:12" x14ac:dyDescent="0.25">
      <c r="A682" s="1">
        <v>681</v>
      </c>
      <c r="B682" s="1">
        <v>573</v>
      </c>
      <c r="C682" s="3" t="s">
        <v>49</v>
      </c>
      <c r="D682" s="5" t="s">
        <v>23</v>
      </c>
      <c r="E682" s="10">
        <v>2.08</v>
      </c>
      <c r="F682" s="10">
        <v>10.98</v>
      </c>
      <c r="G682" s="10">
        <v>4.22</v>
      </c>
      <c r="H682" s="10">
        <v>1.76</v>
      </c>
      <c r="I682" s="8">
        <f t="shared" si="34"/>
        <v>2.4328550399999997</v>
      </c>
      <c r="K682" s="8">
        <f t="shared" si="33"/>
        <v>5.4852078411739926</v>
      </c>
      <c r="L682" s="8">
        <f t="shared" si="35"/>
        <v>2.7426039205869963</v>
      </c>
    </row>
    <row r="683" spans="1:12" x14ac:dyDescent="0.25">
      <c r="A683" s="1">
        <v>682</v>
      </c>
      <c r="B683" s="1">
        <v>574</v>
      </c>
      <c r="C683" s="3" t="s">
        <v>49</v>
      </c>
      <c r="D683" s="5" t="s">
        <v>23</v>
      </c>
      <c r="E683" s="10">
        <v>1.53</v>
      </c>
      <c r="F683" s="10">
        <v>8.4499999999999993</v>
      </c>
      <c r="G683" s="10">
        <f>F683-2</f>
        <v>6.4499999999999993</v>
      </c>
      <c r="H683" s="10">
        <v>1.71</v>
      </c>
      <c r="I683" s="8">
        <f t="shared" si="34"/>
        <v>2.2965881399999999</v>
      </c>
      <c r="K683" s="8">
        <f t="shared" si="33"/>
        <v>13.163983120747019</v>
      </c>
      <c r="L683" s="8">
        <f t="shared" si="35"/>
        <v>6.5819915603735097</v>
      </c>
    </row>
    <row r="684" spans="1:12" x14ac:dyDescent="0.25">
      <c r="A684" s="1">
        <v>683</v>
      </c>
      <c r="B684" s="1">
        <v>575</v>
      </c>
      <c r="C684" s="3" t="s">
        <v>49</v>
      </c>
      <c r="D684" s="5" t="s">
        <v>23</v>
      </c>
      <c r="E684" s="10">
        <v>1.29</v>
      </c>
      <c r="F684" s="10">
        <v>6.73</v>
      </c>
      <c r="G684" s="10">
        <v>4.59</v>
      </c>
      <c r="H684" s="10">
        <v>1.77</v>
      </c>
      <c r="I684" s="8">
        <f t="shared" si="34"/>
        <v>2.4605796600000001</v>
      </c>
      <c r="K684" s="8">
        <f t="shared" si="33"/>
        <v>6.5239604897650079</v>
      </c>
      <c r="L684" s="8">
        <f t="shared" si="35"/>
        <v>3.2619802448825039</v>
      </c>
    </row>
    <row r="685" spans="1:12" x14ac:dyDescent="0.25">
      <c r="A685" s="1">
        <v>684</v>
      </c>
      <c r="B685" s="1">
        <v>576</v>
      </c>
      <c r="C685" s="3" t="s">
        <v>49</v>
      </c>
      <c r="D685" s="5" t="s">
        <v>23</v>
      </c>
      <c r="E685" s="10">
        <v>1.18</v>
      </c>
      <c r="F685" s="10">
        <v>11.1</v>
      </c>
      <c r="G685" s="10">
        <v>8.86</v>
      </c>
      <c r="H685" s="10">
        <v>2.0099999999999998</v>
      </c>
      <c r="I685" s="8">
        <f t="shared" si="34"/>
        <v>3.1730945399999992</v>
      </c>
      <c r="K685" s="8">
        <f t="shared" si="33"/>
        <v>25.344885334237894</v>
      </c>
      <c r="L685" s="8">
        <f t="shared" si="35"/>
        <v>12.672442667118947</v>
      </c>
    </row>
    <row r="686" spans="1:12" x14ac:dyDescent="0.25">
      <c r="A686" s="1">
        <v>685</v>
      </c>
      <c r="B686" s="1">
        <v>577</v>
      </c>
      <c r="C686" s="3" t="s">
        <v>49</v>
      </c>
      <c r="D686" s="5" t="s">
        <v>23</v>
      </c>
      <c r="E686" s="10">
        <v>1.65</v>
      </c>
      <c r="F686" s="10">
        <v>8.1199999999999992</v>
      </c>
      <c r="G686" s="10">
        <v>4.95</v>
      </c>
      <c r="H686" s="10">
        <v>1.82</v>
      </c>
      <c r="I686" s="8">
        <f t="shared" si="34"/>
        <v>2.6015589600000002</v>
      </c>
      <c r="K686" s="8">
        <f t="shared" si="33"/>
        <v>7.6239260235624702</v>
      </c>
      <c r="L686" s="8">
        <f t="shared" si="35"/>
        <v>3.8119630117812351</v>
      </c>
    </row>
    <row r="687" spans="1:12" x14ac:dyDescent="0.25">
      <c r="A687" s="1">
        <v>686</v>
      </c>
      <c r="B687" s="1">
        <v>578</v>
      </c>
      <c r="C687" s="3" t="s">
        <v>49</v>
      </c>
      <c r="D687" s="5" t="s">
        <v>23</v>
      </c>
      <c r="E687" s="10">
        <v>1.86</v>
      </c>
      <c r="F687" s="10">
        <v>8.6</v>
      </c>
      <c r="G687" s="10">
        <v>7.5</v>
      </c>
      <c r="H687" s="10">
        <v>2.08</v>
      </c>
      <c r="I687" s="8">
        <f t="shared" si="34"/>
        <v>3.3979545600000005</v>
      </c>
      <c r="K687" s="8">
        <f t="shared" ref="K687:K750" si="36">0.2811*G687^2.0635</f>
        <v>17.970069742133816</v>
      </c>
      <c r="L687" s="8">
        <f t="shared" si="35"/>
        <v>8.9850348710669081</v>
      </c>
    </row>
    <row r="688" spans="1:12" x14ac:dyDescent="0.25">
      <c r="A688" s="1">
        <v>687</v>
      </c>
      <c r="B688" s="1">
        <v>579</v>
      </c>
      <c r="C688" s="3" t="s">
        <v>49</v>
      </c>
      <c r="D688" s="5" t="s">
        <v>23</v>
      </c>
      <c r="E688" s="10">
        <v>1.56</v>
      </c>
      <c r="F688" s="10">
        <v>7.51</v>
      </c>
      <c r="G688" s="10">
        <f>F688-2</f>
        <v>5.51</v>
      </c>
      <c r="H688" s="10">
        <v>1.84</v>
      </c>
      <c r="I688" s="8">
        <f t="shared" si="34"/>
        <v>2.65905024</v>
      </c>
      <c r="K688" s="8">
        <f t="shared" si="36"/>
        <v>9.5110216406950308</v>
      </c>
      <c r="L688" s="8">
        <f t="shared" si="35"/>
        <v>4.7555108203475154</v>
      </c>
    </row>
    <row r="689" spans="1:12" x14ac:dyDescent="0.25">
      <c r="A689" s="1">
        <v>688</v>
      </c>
      <c r="B689" s="1">
        <v>580</v>
      </c>
      <c r="C689" s="3" t="s">
        <v>49</v>
      </c>
      <c r="D689" s="5" t="s">
        <v>23</v>
      </c>
      <c r="E689" s="10">
        <v>1.51</v>
      </c>
      <c r="F689" s="10">
        <v>9.15</v>
      </c>
      <c r="G689" s="10">
        <v>6.59</v>
      </c>
      <c r="H689" s="10">
        <v>1.78</v>
      </c>
      <c r="I689" s="8">
        <f t="shared" si="34"/>
        <v>2.4884613600000001</v>
      </c>
      <c r="K689" s="8">
        <f t="shared" si="36"/>
        <v>13.760394932592229</v>
      </c>
      <c r="L689" s="8">
        <f t="shared" si="35"/>
        <v>6.8801974662961145</v>
      </c>
    </row>
    <row r="690" spans="1:12" x14ac:dyDescent="0.25">
      <c r="A690" s="1">
        <v>689</v>
      </c>
      <c r="B690" s="1">
        <v>581</v>
      </c>
      <c r="C690" s="3" t="s">
        <v>49</v>
      </c>
      <c r="D690" s="5" t="s">
        <v>23</v>
      </c>
      <c r="E690" s="10">
        <v>1.76</v>
      </c>
      <c r="F690" s="10">
        <v>6.14</v>
      </c>
      <c r="G690" s="10">
        <v>5.14</v>
      </c>
      <c r="H690" s="10">
        <v>2.0499999999999998</v>
      </c>
      <c r="I690" s="8">
        <f t="shared" si="34"/>
        <v>3.3006434999999996</v>
      </c>
      <c r="K690" s="8">
        <f t="shared" si="36"/>
        <v>8.2401144089858835</v>
      </c>
      <c r="L690" s="8">
        <f t="shared" si="35"/>
        <v>4.1200572044929418</v>
      </c>
    </row>
    <row r="691" spans="1:12" x14ac:dyDescent="0.25">
      <c r="A691" s="1">
        <v>690</v>
      </c>
      <c r="B691" s="1">
        <v>582</v>
      </c>
      <c r="C691" s="3" t="s">
        <v>49</v>
      </c>
      <c r="D691" s="5" t="s">
        <v>23</v>
      </c>
      <c r="E691" s="10">
        <v>1.76</v>
      </c>
      <c r="F691" s="10">
        <v>7.74</v>
      </c>
      <c r="G691" s="10">
        <v>4.49</v>
      </c>
      <c r="H691" s="10">
        <v>1.78</v>
      </c>
      <c r="I691" s="8">
        <f t="shared" si="34"/>
        <v>2.4884613600000001</v>
      </c>
      <c r="K691" s="8">
        <f t="shared" si="36"/>
        <v>6.2340627620766984</v>
      </c>
      <c r="L691" s="8">
        <f t="shared" si="35"/>
        <v>3.1170313810383492</v>
      </c>
    </row>
    <row r="692" spans="1:12" x14ac:dyDescent="0.25">
      <c r="A692" s="1">
        <v>691</v>
      </c>
      <c r="B692" s="1">
        <v>583</v>
      </c>
      <c r="C692" s="3" t="s">
        <v>49</v>
      </c>
      <c r="D692" s="5" t="s">
        <v>23</v>
      </c>
      <c r="E692" s="10">
        <v>1.87</v>
      </c>
      <c r="F692" s="10">
        <v>11.79</v>
      </c>
      <c r="G692" s="10">
        <v>3.23</v>
      </c>
      <c r="H692" s="10">
        <v>1.81</v>
      </c>
      <c r="I692" s="8">
        <f t="shared" si="34"/>
        <v>2.5730489400000001</v>
      </c>
      <c r="K692" s="8">
        <f t="shared" si="36"/>
        <v>3.1593682575444868</v>
      </c>
      <c r="L692" s="8">
        <f t="shared" si="35"/>
        <v>1.5796841287722434</v>
      </c>
    </row>
    <row r="693" spans="1:12" x14ac:dyDescent="0.25">
      <c r="A693" s="1">
        <v>692</v>
      </c>
      <c r="B693" s="1">
        <v>584</v>
      </c>
      <c r="C693" s="3" t="s">
        <v>49</v>
      </c>
      <c r="D693" s="5" t="s">
        <v>23</v>
      </c>
      <c r="E693" s="10">
        <v>1.69</v>
      </c>
      <c r="F693" s="10">
        <v>6.81</v>
      </c>
      <c r="G693" s="10">
        <v>5.13</v>
      </c>
      <c r="H693" s="10">
        <v>2</v>
      </c>
      <c r="I693" s="8">
        <f t="shared" si="34"/>
        <v>3.1415999999999999</v>
      </c>
      <c r="K693" s="8">
        <f t="shared" si="36"/>
        <v>8.2070679378783336</v>
      </c>
      <c r="L693" s="8">
        <f t="shared" si="35"/>
        <v>4.1035339689391668</v>
      </c>
    </row>
    <row r="694" spans="1:12" x14ac:dyDescent="0.25">
      <c r="A694" s="1">
        <v>693</v>
      </c>
      <c r="B694" s="1">
        <v>585</v>
      </c>
      <c r="C694" s="3" t="s">
        <v>49</v>
      </c>
      <c r="D694" s="5" t="s">
        <v>23</v>
      </c>
      <c r="E694" s="10">
        <v>1.1100000000000001</v>
      </c>
      <c r="F694" s="10">
        <v>9.6</v>
      </c>
      <c r="G694" s="10">
        <v>7.57</v>
      </c>
      <c r="H694" s="10">
        <v>1.78</v>
      </c>
      <c r="I694" s="8">
        <f t="shared" si="34"/>
        <v>2.4884613600000001</v>
      </c>
      <c r="K694" s="8">
        <f t="shared" si="36"/>
        <v>18.317879296341875</v>
      </c>
      <c r="L694" s="8">
        <f t="shared" si="35"/>
        <v>9.1589396481709375</v>
      </c>
    </row>
    <row r="695" spans="1:12" x14ac:dyDescent="0.25">
      <c r="A695" s="1">
        <v>694</v>
      </c>
      <c r="B695" s="1">
        <v>586</v>
      </c>
      <c r="C695" s="3" t="s">
        <v>49</v>
      </c>
      <c r="D695" s="5" t="s">
        <v>23</v>
      </c>
      <c r="E695" s="10">
        <v>1.83</v>
      </c>
      <c r="F695" s="10">
        <v>7.28</v>
      </c>
      <c r="G695" s="10">
        <f>F695-2</f>
        <v>5.28</v>
      </c>
      <c r="H695" s="10">
        <v>2.1</v>
      </c>
      <c r="I695" s="8">
        <f t="shared" si="34"/>
        <v>3.4636140000000002</v>
      </c>
      <c r="K695" s="8">
        <f t="shared" si="36"/>
        <v>8.709955672374095</v>
      </c>
      <c r="L695" s="8">
        <f t="shared" si="35"/>
        <v>4.3549778361870475</v>
      </c>
    </row>
    <row r="696" spans="1:12" x14ac:dyDescent="0.25">
      <c r="A696" s="1">
        <v>695</v>
      </c>
      <c r="B696" s="1">
        <v>587</v>
      </c>
      <c r="C696" s="3" t="s">
        <v>49</v>
      </c>
      <c r="D696" s="5" t="s">
        <v>23</v>
      </c>
      <c r="E696" s="10">
        <v>1.75</v>
      </c>
      <c r="F696" s="10">
        <v>10.41</v>
      </c>
      <c r="G696" s="10">
        <v>9.1</v>
      </c>
      <c r="H696" s="10">
        <v>1.86</v>
      </c>
      <c r="I696" s="8">
        <f t="shared" si="34"/>
        <v>2.7171698400000004</v>
      </c>
      <c r="K696" s="8">
        <f t="shared" si="36"/>
        <v>26.78198476536576</v>
      </c>
      <c r="L696" s="8">
        <f t="shared" si="35"/>
        <v>13.39099238268288</v>
      </c>
    </row>
    <row r="697" spans="1:12" x14ac:dyDescent="0.25">
      <c r="A697" s="1">
        <v>696</v>
      </c>
      <c r="B697" s="1">
        <v>588</v>
      </c>
      <c r="C697" s="3" t="s">
        <v>49</v>
      </c>
      <c r="D697" s="5" t="s">
        <v>23</v>
      </c>
      <c r="E697" s="10">
        <v>1.27</v>
      </c>
      <c r="F697" s="10">
        <v>5.92</v>
      </c>
      <c r="G697" s="10">
        <f>F697-2</f>
        <v>3.92</v>
      </c>
      <c r="H697" s="10">
        <v>1.74</v>
      </c>
      <c r="I697" s="8">
        <f t="shared" si="34"/>
        <v>2.37787704</v>
      </c>
      <c r="K697" s="8">
        <f t="shared" si="36"/>
        <v>4.7109299330343282</v>
      </c>
      <c r="L697" s="8">
        <f t="shared" si="35"/>
        <v>2.3554649665171641</v>
      </c>
    </row>
    <row r="698" spans="1:12" x14ac:dyDescent="0.25">
      <c r="A698" s="1">
        <v>697</v>
      </c>
      <c r="B698" s="1">
        <v>589</v>
      </c>
      <c r="C698" s="3" t="s">
        <v>49</v>
      </c>
      <c r="D698" s="5" t="s">
        <v>23</v>
      </c>
      <c r="E698" s="10">
        <v>1.81</v>
      </c>
      <c r="F698" s="10">
        <v>11.79</v>
      </c>
      <c r="G698" s="10">
        <v>8.52</v>
      </c>
      <c r="H698" s="10">
        <v>1.93</v>
      </c>
      <c r="I698" s="8">
        <f t="shared" si="34"/>
        <v>2.92553646</v>
      </c>
      <c r="K698" s="8">
        <f t="shared" si="36"/>
        <v>23.378839497326044</v>
      </c>
      <c r="L698" s="8">
        <f t="shared" si="35"/>
        <v>11.689419748663022</v>
      </c>
    </row>
    <row r="699" spans="1:12" x14ac:dyDescent="0.25">
      <c r="A699" s="1">
        <v>698</v>
      </c>
      <c r="B699" s="1">
        <v>590</v>
      </c>
      <c r="C699" s="3" t="s">
        <v>49</v>
      </c>
      <c r="D699" s="5" t="s">
        <v>23</v>
      </c>
      <c r="E699" s="10">
        <v>2.29</v>
      </c>
      <c r="F699" s="10">
        <v>8.18</v>
      </c>
      <c r="G699" s="10">
        <v>7.65</v>
      </c>
      <c r="H699" s="10">
        <v>1.83</v>
      </c>
      <c r="I699" s="8">
        <f t="shared" si="34"/>
        <v>2.6302260600000005</v>
      </c>
      <c r="K699" s="8">
        <f t="shared" si="36"/>
        <v>18.71958502329996</v>
      </c>
      <c r="L699" s="8">
        <f t="shared" si="35"/>
        <v>9.3597925116499798</v>
      </c>
    </row>
    <row r="700" spans="1:12" x14ac:dyDescent="0.25">
      <c r="A700" s="1">
        <v>699</v>
      </c>
      <c r="B700" s="1">
        <v>591</v>
      </c>
      <c r="C700" s="3" t="s">
        <v>49</v>
      </c>
      <c r="D700" s="5" t="s">
        <v>23</v>
      </c>
      <c r="E700" s="10">
        <v>1.73</v>
      </c>
      <c r="F700" s="10">
        <v>6.65</v>
      </c>
      <c r="G700" s="10">
        <v>4.82</v>
      </c>
      <c r="H700" s="10">
        <v>1.9</v>
      </c>
      <c r="I700" s="8">
        <f t="shared" si="34"/>
        <v>2.8352939999999998</v>
      </c>
      <c r="K700" s="8">
        <f t="shared" si="36"/>
        <v>7.2165297945497864</v>
      </c>
      <c r="L700" s="8">
        <f t="shared" si="35"/>
        <v>3.6082648972748932</v>
      </c>
    </row>
    <row r="701" spans="1:12" x14ac:dyDescent="0.25">
      <c r="A701" s="1">
        <v>700</v>
      </c>
      <c r="B701" s="1">
        <v>592</v>
      </c>
      <c r="C701" s="3" t="s">
        <v>49</v>
      </c>
      <c r="D701" s="5" t="s">
        <v>23</v>
      </c>
      <c r="E701" s="10">
        <v>1.84</v>
      </c>
      <c r="F701" s="10">
        <v>5.51</v>
      </c>
      <c r="G701" s="10">
        <f>F701-2</f>
        <v>3.51</v>
      </c>
      <c r="H701" s="10">
        <v>1.9</v>
      </c>
      <c r="I701" s="8">
        <f t="shared" si="34"/>
        <v>2.8352939999999998</v>
      </c>
      <c r="K701" s="8">
        <f t="shared" si="36"/>
        <v>3.7506114959143617</v>
      </c>
      <c r="L701" s="8">
        <f t="shared" si="35"/>
        <v>1.8753057479571809</v>
      </c>
    </row>
    <row r="702" spans="1:12" x14ac:dyDescent="0.25">
      <c r="A702" s="1">
        <v>701</v>
      </c>
      <c r="B702" s="1">
        <v>593</v>
      </c>
      <c r="C702" s="3" t="s">
        <v>49</v>
      </c>
      <c r="D702" s="5" t="s">
        <v>23</v>
      </c>
      <c r="E702" s="10">
        <v>1.34</v>
      </c>
      <c r="F702" s="10">
        <v>6.19</v>
      </c>
      <c r="G702" s="10">
        <f>F702-2</f>
        <v>4.1900000000000004</v>
      </c>
      <c r="H702" s="10">
        <v>2.0699999999999998</v>
      </c>
      <c r="I702" s="8">
        <f t="shared" si="34"/>
        <v>3.3653604599999993</v>
      </c>
      <c r="K702" s="8">
        <f t="shared" si="36"/>
        <v>5.4050470902519381</v>
      </c>
      <c r="L702" s="8">
        <f t="shared" si="35"/>
        <v>2.702523545125969</v>
      </c>
    </row>
    <row r="703" spans="1:12" x14ac:dyDescent="0.25">
      <c r="A703" s="1">
        <v>702</v>
      </c>
      <c r="B703" s="1">
        <v>594</v>
      </c>
      <c r="C703" s="3" t="s">
        <v>49</v>
      </c>
      <c r="D703" s="5" t="s">
        <v>23</v>
      </c>
      <c r="E703" s="10">
        <v>2.25</v>
      </c>
      <c r="F703" s="10">
        <v>8.64</v>
      </c>
      <c r="G703" s="10">
        <v>6.92</v>
      </c>
      <c r="H703" s="10">
        <v>2.0499999999999998</v>
      </c>
      <c r="I703" s="8">
        <f t="shared" si="34"/>
        <v>3.3006434999999996</v>
      </c>
      <c r="K703" s="8">
        <f t="shared" si="36"/>
        <v>15.22017940113701</v>
      </c>
      <c r="L703" s="8">
        <f t="shared" si="35"/>
        <v>7.6100897005685049</v>
      </c>
    </row>
    <row r="704" spans="1:12" x14ac:dyDescent="0.25">
      <c r="A704" s="1">
        <v>703</v>
      </c>
      <c r="B704" s="1">
        <v>595</v>
      </c>
      <c r="C704" s="3" t="s">
        <v>49</v>
      </c>
      <c r="D704" s="5" t="s">
        <v>23</v>
      </c>
      <c r="E704" s="10">
        <v>1.58</v>
      </c>
      <c r="F704" s="10">
        <v>7.36</v>
      </c>
      <c r="G704" s="10">
        <v>3.78</v>
      </c>
      <c r="H704" s="10">
        <v>2.04</v>
      </c>
      <c r="I704" s="8">
        <f t="shared" si="34"/>
        <v>3.2685206399999998</v>
      </c>
      <c r="K704" s="8">
        <f t="shared" si="36"/>
        <v>4.3703394909441089</v>
      </c>
      <c r="L704" s="8">
        <f t="shared" si="35"/>
        <v>2.1851697454720544</v>
      </c>
    </row>
    <row r="705" spans="1:12" x14ac:dyDescent="0.25">
      <c r="A705" s="1">
        <v>704</v>
      </c>
      <c r="B705" s="1">
        <v>596</v>
      </c>
      <c r="C705" s="3" t="s">
        <v>49</v>
      </c>
      <c r="D705" s="5" t="s">
        <v>23</v>
      </c>
      <c r="E705" s="10">
        <v>1.64</v>
      </c>
      <c r="F705" s="10">
        <v>10.8</v>
      </c>
      <c r="G705" s="10">
        <v>6.13</v>
      </c>
      <c r="H705" s="10">
        <v>1.82</v>
      </c>
      <c r="I705" s="8">
        <f t="shared" si="34"/>
        <v>2.6015589600000002</v>
      </c>
      <c r="K705" s="8">
        <f t="shared" si="36"/>
        <v>11.851833311526814</v>
      </c>
      <c r="L705" s="8">
        <f t="shared" si="35"/>
        <v>5.9259166557634071</v>
      </c>
    </row>
    <row r="706" spans="1:12" x14ac:dyDescent="0.25">
      <c r="A706" s="1">
        <v>705</v>
      </c>
      <c r="B706" s="1">
        <v>597</v>
      </c>
      <c r="C706" s="3" t="s">
        <v>49</v>
      </c>
      <c r="D706" s="5" t="s">
        <v>23</v>
      </c>
      <c r="E706" s="10">
        <v>2.34</v>
      </c>
      <c r="F706" s="10">
        <v>8.02</v>
      </c>
      <c r="G706" s="10">
        <v>6.22</v>
      </c>
      <c r="H706" s="10">
        <v>1.89</v>
      </c>
      <c r="I706" s="8">
        <f t="shared" si="34"/>
        <v>2.8055273399999998</v>
      </c>
      <c r="K706" s="8">
        <f t="shared" si="36"/>
        <v>12.213701575445072</v>
      </c>
      <c r="L706" s="8">
        <f t="shared" si="35"/>
        <v>6.1068507877225358</v>
      </c>
    </row>
    <row r="707" spans="1:12" x14ac:dyDescent="0.25">
      <c r="A707" s="1">
        <v>706</v>
      </c>
      <c r="B707" s="1">
        <v>598</v>
      </c>
      <c r="C707" s="3" t="s">
        <v>49</v>
      </c>
      <c r="D707" s="5" t="s">
        <v>23</v>
      </c>
      <c r="E707" s="10">
        <v>2.2599999999999998</v>
      </c>
      <c r="F707" s="10">
        <v>6.74</v>
      </c>
      <c r="G707" s="10">
        <f>F707-2</f>
        <v>4.74</v>
      </c>
      <c r="H707" s="10">
        <v>1.91</v>
      </c>
      <c r="I707" s="8">
        <f t="shared" ref="I707:I770" si="37">0.7854*H707^2</f>
        <v>2.8652177399999998</v>
      </c>
      <c r="K707" s="8">
        <f t="shared" si="36"/>
        <v>6.9715517204172217</v>
      </c>
      <c r="L707" s="8">
        <f t="shared" ref="L707:L770" si="38">K707*0.5</f>
        <v>3.4857758602086109</v>
      </c>
    </row>
    <row r="708" spans="1:12" x14ac:dyDescent="0.25">
      <c r="A708" s="1">
        <v>707</v>
      </c>
      <c r="B708" s="1">
        <v>599</v>
      </c>
      <c r="C708" s="3" t="s">
        <v>49</v>
      </c>
      <c r="D708" s="5" t="s">
        <v>23</v>
      </c>
      <c r="E708" s="10">
        <v>1.81</v>
      </c>
      <c r="F708" s="10">
        <v>9.32</v>
      </c>
      <c r="G708" s="10">
        <v>6.83</v>
      </c>
      <c r="H708" s="10">
        <v>2</v>
      </c>
      <c r="I708" s="8">
        <f t="shared" si="37"/>
        <v>3.1415999999999999</v>
      </c>
      <c r="K708" s="8">
        <f t="shared" si="36"/>
        <v>14.814533065858374</v>
      </c>
      <c r="L708" s="8">
        <f t="shared" si="38"/>
        <v>7.4072665329291869</v>
      </c>
    </row>
    <row r="709" spans="1:12" x14ac:dyDescent="0.25">
      <c r="A709" s="1">
        <v>708</v>
      </c>
      <c r="B709" s="1">
        <v>600</v>
      </c>
      <c r="C709" s="3" t="s">
        <v>49</v>
      </c>
      <c r="D709" s="5" t="s">
        <v>23</v>
      </c>
      <c r="E709" s="10">
        <v>2.1800000000000002</v>
      </c>
      <c r="F709" s="10">
        <v>9.9499999999999993</v>
      </c>
      <c r="G709" s="10">
        <v>5.66</v>
      </c>
      <c r="H709" s="10">
        <v>1.73</v>
      </c>
      <c r="I709" s="8">
        <f t="shared" si="37"/>
        <v>2.3506236600000001</v>
      </c>
      <c r="K709" s="8">
        <f t="shared" si="36"/>
        <v>10.053043259086071</v>
      </c>
      <c r="L709" s="8">
        <f t="shared" si="38"/>
        <v>5.0265216295430353</v>
      </c>
    </row>
    <row r="710" spans="1:12" x14ac:dyDescent="0.25">
      <c r="A710" s="1">
        <v>709</v>
      </c>
      <c r="B710" s="1">
        <v>601</v>
      </c>
      <c r="C710" s="3" t="s">
        <v>49</v>
      </c>
      <c r="D710" s="5" t="s">
        <v>23</v>
      </c>
      <c r="E710" s="10">
        <v>1.18</v>
      </c>
      <c r="F710" s="10">
        <v>6.17</v>
      </c>
      <c r="G710" s="10">
        <f>F710-2</f>
        <v>4.17</v>
      </c>
      <c r="H710" s="10">
        <v>2.06</v>
      </c>
      <c r="I710" s="8">
        <f t="shared" si="37"/>
        <v>3.3329234399999996</v>
      </c>
      <c r="K710" s="8">
        <f t="shared" si="36"/>
        <v>5.3519444251195925</v>
      </c>
      <c r="L710" s="8">
        <f t="shared" si="38"/>
        <v>2.6759722125597962</v>
      </c>
    </row>
    <row r="711" spans="1:12" x14ac:dyDescent="0.25">
      <c r="A711" s="1">
        <v>710</v>
      </c>
      <c r="B711" s="1">
        <v>602</v>
      </c>
      <c r="C711" s="3" t="s">
        <v>49</v>
      </c>
      <c r="D711" s="5" t="s">
        <v>23</v>
      </c>
      <c r="E711" s="10">
        <v>2.27</v>
      </c>
      <c r="F711" s="10">
        <v>6.17</v>
      </c>
      <c r="G711" s="10">
        <v>3.78</v>
      </c>
      <c r="H711" s="10">
        <v>1.95</v>
      </c>
      <c r="I711" s="8">
        <f t="shared" si="37"/>
        <v>2.9864834999999998</v>
      </c>
      <c r="K711" s="8">
        <f t="shared" si="36"/>
        <v>4.3703394909441089</v>
      </c>
      <c r="L711" s="8">
        <f t="shared" si="38"/>
        <v>2.1851697454720544</v>
      </c>
    </row>
    <row r="712" spans="1:12" x14ac:dyDescent="0.25">
      <c r="A712" s="1">
        <v>711</v>
      </c>
      <c r="B712" s="1">
        <v>603</v>
      </c>
      <c r="C712" s="3" t="s">
        <v>49</v>
      </c>
      <c r="D712" s="5" t="s">
        <v>23</v>
      </c>
      <c r="E712" s="10">
        <v>1.93</v>
      </c>
      <c r="F712" s="10">
        <v>5.26</v>
      </c>
      <c r="G712" s="10">
        <f>F712-2</f>
        <v>3.26</v>
      </c>
      <c r="H712" s="10">
        <v>1.84</v>
      </c>
      <c r="I712" s="8">
        <f t="shared" si="37"/>
        <v>2.65905024</v>
      </c>
      <c r="K712" s="8">
        <f t="shared" si="36"/>
        <v>3.2202186680862033</v>
      </c>
      <c r="L712" s="8">
        <f t="shared" si="38"/>
        <v>1.6101093340431016</v>
      </c>
    </row>
    <row r="713" spans="1:12" x14ac:dyDescent="0.25">
      <c r="A713" s="1">
        <v>712</v>
      </c>
      <c r="B713" s="1">
        <v>604</v>
      </c>
      <c r="C713" s="3" t="s">
        <v>49</v>
      </c>
      <c r="D713" s="5" t="s">
        <v>23</v>
      </c>
      <c r="E713" s="10">
        <v>1.62</v>
      </c>
      <c r="F713" s="10">
        <v>10.15</v>
      </c>
      <c r="G713" s="10">
        <v>3.29</v>
      </c>
      <c r="H713" s="10">
        <v>1.74</v>
      </c>
      <c r="I713" s="8">
        <f t="shared" si="37"/>
        <v>2.37787704</v>
      </c>
      <c r="K713" s="8">
        <f t="shared" si="36"/>
        <v>3.281667537704104</v>
      </c>
      <c r="L713" s="8">
        <f t="shared" si="38"/>
        <v>1.640833768852052</v>
      </c>
    </row>
    <row r="714" spans="1:12" x14ac:dyDescent="0.25">
      <c r="A714" s="1">
        <v>713</v>
      </c>
      <c r="B714" s="1">
        <v>605</v>
      </c>
      <c r="C714" s="3" t="s">
        <v>49</v>
      </c>
      <c r="D714" s="5" t="s">
        <v>23</v>
      </c>
      <c r="E714" s="10">
        <v>1.26</v>
      </c>
      <c r="F714" s="10">
        <v>9.65</v>
      </c>
      <c r="G714" s="10">
        <v>8.18</v>
      </c>
      <c r="H714" s="10">
        <v>1.94</v>
      </c>
      <c r="I714" s="8">
        <f t="shared" si="37"/>
        <v>2.9559314399999996</v>
      </c>
      <c r="K714" s="8">
        <f t="shared" si="36"/>
        <v>21.494497061047181</v>
      </c>
      <c r="L714" s="8">
        <f t="shared" si="38"/>
        <v>10.74724853052359</v>
      </c>
    </row>
    <row r="715" spans="1:12" x14ac:dyDescent="0.25">
      <c r="A715" s="1">
        <v>714</v>
      </c>
      <c r="B715" s="1">
        <v>606</v>
      </c>
      <c r="C715" s="3" t="s">
        <v>49</v>
      </c>
      <c r="D715" s="5" t="s">
        <v>23</v>
      </c>
      <c r="E715" s="10">
        <v>2.13</v>
      </c>
      <c r="F715" s="10">
        <v>8.32</v>
      </c>
      <c r="G715" s="10">
        <f>F715-2</f>
        <v>6.32</v>
      </c>
      <c r="H715" s="10">
        <v>1.76</v>
      </c>
      <c r="I715" s="8">
        <f t="shared" si="37"/>
        <v>2.4328550399999997</v>
      </c>
      <c r="K715" s="8">
        <f t="shared" si="36"/>
        <v>12.622359250001441</v>
      </c>
      <c r="L715" s="8">
        <f t="shared" si="38"/>
        <v>6.3111796250007206</v>
      </c>
    </row>
    <row r="716" spans="1:12" x14ac:dyDescent="0.25">
      <c r="A716" s="1">
        <v>715</v>
      </c>
      <c r="B716" s="1">
        <v>607</v>
      </c>
      <c r="C716" s="3" t="s">
        <v>49</v>
      </c>
      <c r="D716" s="5" t="s">
        <v>23</v>
      </c>
      <c r="E716" s="10">
        <v>2.17</v>
      </c>
      <c r="F716" s="10">
        <v>10.91</v>
      </c>
      <c r="G716" s="10">
        <v>4.96</v>
      </c>
      <c r="H716" s="10">
        <v>1.79</v>
      </c>
      <c r="I716" s="8">
        <f t="shared" si="37"/>
        <v>2.5165001399999998</v>
      </c>
      <c r="K716" s="8">
        <f t="shared" si="36"/>
        <v>7.6557419266391911</v>
      </c>
      <c r="L716" s="8">
        <f t="shared" si="38"/>
        <v>3.8278709633195955</v>
      </c>
    </row>
    <row r="717" spans="1:12" x14ac:dyDescent="0.25">
      <c r="A717" s="1">
        <v>716</v>
      </c>
      <c r="B717" s="1">
        <v>608</v>
      </c>
      <c r="C717" s="3" t="s">
        <v>49</v>
      </c>
      <c r="D717" s="5" t="s">
        <v>23</v>
      </c>
      <c r="E717" s="10">
        <v>1.45</v>
      </c>
      <c r="F717" s="10">
        <v>10.64</v>
      </c>
      <c r="G717" s="10">
        <v>9.01</v>
      </c>
      <c r="H717" s="10">
        <v>2.09</v>
      </c>
      <c r="I717" s="8">
        <f t="shared" si="37"/>
        <v>3.4307057399999992</v>
      </c>
      <c r="K717" s="8">
        <f t="shared" si="36"/>
        <v>26.238285406968632</v>
      </c>
      <c r="L717" s="8">
        <f t="shared" si="38"/>
        <v>13.119142703484316</v>
      </c>
    </row>
    <row r="718" spans="1:12" x14ac:dyDescent="0.25">
      <c r="A718" s="1">
        <v>717</v>
      </c>
      <c r="B718" s="1">
        <v>609</v>
      </c>
      <c r="C718" s="3" t="s">
        <v>49</v>
      </c>
      <c r="D718" s="5" t="s">
        <v>23</v>
      </c>
      <c r="E718" s="10">
        <v>1.37</v>
      </c>
      <c r="F718" s="10">
        <v>9.1</v>
      </c>
      <c r="G718" s="10">
        <v>5.05</v>
      </c>
      <c r="H718" s="10">
        <v>1.68</v>
      </c>
      <c r="I718" s="8">
        <f t="shared" si="37"/>
        <v>2.2167129599999997</v>
      </c>
      <c r="K718" s="8">
        <f t="shared" si="36"/>
        <v>7.9451592111717204</v>
      </c>
      <c r="L718" s="8">
        <f t="shared" si="38"/>
        <v>3.9725796055858602</v>
      </c>
    </row>
    <row r="719" spans="1:12" x14ac:dyDescent="0.25">
      <c r="A719" s="1">
        <v>718</v>
      </c>
      <c r="B719" s="1">
        <v>610</v>
      </c>
      <c r="C719" s="3" t="s">
        <v>49</v>
      </c>
      <c r="D719" s="5" t="s">
        <v>23</v>
      </c>
      <c r="E719" s="10">
        <v>1.5</v>
      </c>
      <c r="F719" s="10">
        <v>11.08</v>
      </c>
      <c r="G719" s="10">
        <v>9.3800000000000008</v>
      </c>
      <c r="H719" s="10">
        <v>1.81</v>
      </c>
      <c r="I719" s="8">
        <f t="shared" si="37"/>
        <v>2.5730489400000001</v>
      </c>
      <c r="K719" s="8">
        <f t="shared" si="36"/>
        <v>28.510274752013874</v>
      </c>
      <c r="L719" s="8">
        <f t="shared" si="38"/>
        <v>14.255137376006937</v>
      </c>
    </row>
    <row r="720" spans="1:12" x14ac:dyDescent="0.25">
      <c r="A720" s="1">
        <v>719</v>
      </c>
      <c r="B720" s="1">
        <v>611</v>
      </c>
      <c r="C720" s="3" t="s">
        <v>49</v>
      </c>
      <c r="D720" s="5" t="s">
        <v>23</v>
      </c>
      <c r="E720" s="10">
        <v>2.27</v>
      </c>
      <c r="F720" s="10">
        <v>6.44</v>
      </c>
      <c r="G720" s="10">
        <f>F720-2</f>
        <v>4.4400000000000004</v>
      </c>
      <c r="H720" s="10">
        <v>1.87</v>
      </c>
      <c r="I720" s="8">
        <f t="shared" si="37"/>
        <v>2.7464652600000004</v>
      </c>
      <c r="K720" s="8">
        <f t="shared" si="36"/>
        <v>6.0916592820792097</v>
      </c>
      <c r="L720" s="8">
        <f t="shared" si="38"/>
        <v>3.0458296410396049</v>
      </c>
    </row>
    <row r="721" spans="1:12" x14ac:dyDescent="0.25">
      <c r="A721" s="1">
        <v>720</v>
      </c>
      <c r="B721" s="1">
        <v>612</v>
      </c>
      <c r="C721" s="3" t="s">
        <v>49</v>
      </c>
      <c r="D721" s="5" t="s">
        <v>23</v>
      </c>
      <c r="E721" s="10">
        <v>1.27</v>
      </c>
      <c r="F721" s="10">
        <v>5.78</v>
      </c>
      <c r="G721" s="10">
        <f>F721-2</f>
        <v>3.7800000000000002</v>
      </c>
      <c r="H721" s="10">
        <v>1.9</v>
      </c>
      <c r="I721" s="8">
        <f t="shared" si="37"/>
        <v>2.8352939999999998</v>
      </c>
      <c r="K721" s="8">
        <f t="shared" si="36"/>
        <v>4.3703394909441107</v>
      </c>
      <c r="L721" s="8">
        <f t="shared" si="38"/>
        <v>2.1851697454720553</v>
      </c>
    </row>
    <row r="722" spans="1:12" x14ac:dyDescent="0.25">
      <c r="A722" s="1">
        <v>721</v>
      </c>
      <c r="B722" s="1">
        <v>613</v>
      </c>
      <c r="C722" s="3" t="s">
        <v>49</v>
      </c>
      <c r="D722" s="5" t="s">
        <v>23</v>
      </c>
      <c r="E722" s="10">
        <v>1.46</v>
      </c>
      <c r="F722" s="10">
        <v>6.89</v>
      </c>
      <c r="G722" s="10">
        <v>3.13</v>
      </c>
      <c r="H722" s="10">
        <v>1.96</v>
      </c>
      <c r="I722" s="8">
        <f t="shared" si="37"/>
        <v>3.0171926399999998</v>
      </c>
      <c r="K722" s="8">
        <f t="shared" si="36"/>
        <v>2.9608512274163559</v>
      </c>
      <c r="L722" s="8">
        <f t="shared" si="38"/>
        <v>1.4804256137081779</v>
      </c>
    </row>
    <row r="723" spans="1:12" x14ac:dyDescent="0.25">
      <c r="A723" s="1">
        <v>722</v>
      </c>
      <c r="B723" s="1">
        <v>614</v>
      </c>
      <c r="C723" s="3" t="s">
        <v>49</v>
      </c>
      <c r="D723" s="5" t="s">
        <v>23</v>
      </c>
      <c r="E723" s="10">
        <v>2.1800000000000002</v>
      </c>
      <c r="F723" s="10">
        <v>5.4</v>
      </c>
      <c r="G723" s="10">
        <f>F723-2</f>
        <v>3.4000000000000004</v>
      </c>
      <c r="H723" s="10">
        <v>1.7</v>
      </c>
      <c r="I723" s="8">
        <f t="shared" si="37"/>
        <v>2.2698059999999995</v>
      </c>
      <c r="K723" s="8">
        <f t="shared" si="36"/>
        <v>3.512105805193471</v>
      </c>
      <c r="L723" s="8">
        <f t="shared" si="38"/>
        <v>1.7560529025967355</v>
      </c>
    </row>
    <row r="724" spans="1:12" x14ac:dyDescent="0.25">
      <c r="A724" s="1">
        <v>723</v>
      </c>
      <c r="B724" s="1">
        <v>615</v>
      </c>
      <c r="C724" s="3" t="s">
        <v>49</v>
      </c>
      <c r="D724" s="5" t="s">
        <v>23</v>
      </c>
      <c r="E724" s="10">
        <v>2.35</v>
      </c>
      <c r="F724" s="10">
        <v>8.7200000000000006</v>
      </c>
      <c r="G724" s="10">
        <v>8.09</v>
      </c>
      <c r="H724" s="10">
        <v>1.91</v>
      </c>
      <c r="I724" s="8">
        <f t="shared" si="37"/>
        <v>2.8652177399999998</v>
      </c>
      <c r="K724" s="8">
        <f t="shared" si="36"/>
        <v>21.009350184137059</v>
      </c>
      <c r="L724" s="8">
        <f t="shared" si="38"/>
        <v>10.504675092068529</v>
      </c>
    </row>
    <row r="725" spans="1:12" x14ac:dyDescent="0.25">
      <c r="A725" s="1">
        <v>724</v>
      </c>
      <c r="B725" s="1">
        <v>616</v>
      </c>
      <c r="C725" s="3" t="s">
        <v>49</v>
      </c>
      <c r="D725" s="5" t="s">
        <v>23</v>
      </c>
      <c r="E725" s="10">
        <v>1.1399999999999999</v>
      </c>
      <c r="F725" s="10">
        <v>11.56</v>
      </c>
      <c r="G725" s="10">
        <v>5.13</v>
      </c>
      <c r="H725" s="10">
        <v>2.02</v>
      </c>
      <c r="I725" s="8">
        <f t="shared" si="37"/>
        <v>3.20474616</v>
      </c>
      <c r="K725" s="8">
        <f t="shared" si="36"/>
        <v>8.2070679378783336</v>
      </c>
      <c r="L725" s="8">
        <f t="shared" si="38"/>
        <v>4.1035339689391668</v>
      </c>
    </row>
    <row r="726" spans="1:12" x14ac:dyDescent="0.25">
      <c r="A726" s="1">
        <v>725</v>
      </c>
      <c r="B726" s="1">
        <v>617</v>
      </c>
      <c r="C726" s="3" t="s">
        <v>49</v>
      </c>
      <c r="D726" s="5" t="s">
        <v>23</v>
      </c>
      <c r="E726" s="10">
        <v>2.0099999999999998</v>
      </c>
      <c r="F726" s="10">
        <v>5.28</v>
      </c>
      <c r="G726" s="10">
        <f>F726-2</f>
        <v>3.2800000000000002</v>
      </c>
      <c r="H726" s="10">
        <v>1.86</v>
      </c>
      <c r="I726" s="8">
        <f t="shared" si="37"/>
        <v>2.7171698400000004</v>
      </c>
      <c r="K726" s="8">
        <f t="shared" si="36"/>
        <v>3.2611180641554287</v>
      </c>
      <c r="L726" s="8">
        <f t="shared" si="38"/>
        <v>1.6305590320777144</v>
      </c>
    </row>
    <row r="727" spans="1:12" x14ac:dyDescent="0.25">
      <c r="A727" s="1">
        <v>726</v>
      </c>
      <c r="B727" s="1">
        <v>618</v>
      </c>
      <c r="C727" s="3" t="s">
        <v>49</v>
      </c>
      <c r="D727" s="5" t="s">
        <v>23</v>
      </c>
      <c r="E727" s="10">
        <v>2.4</v>
      </c>
      <c r="F727" s="10">
        <v>5.85</v>
      </c>
      <c r="G727" s="10">
        <v>4.97</v>
      </c>
      <c r="H727" s="10">
        <v>1.89</v>
      </c>
      <c r="I727" s="8">
        <f t="shared" si="37"/>
        <v>2.8055273399999998</v>
      </c>
      <c r="K727" s="8">
        <f t="shared" si="36"/>
        <v>7.68762612109622</v>
      </c>
      <c r="L727" s="8">
        <f t="shared" si="38"/>
        <v>3.84381306054811</v>
      </c>
    </row>
    <row r="728" spans="1:12" x14ac:dyDescent="0.25">
      <c r="A728" s="1">
        <v>727</v>
      </c>
      <c r="B728" s="1">
        <v>619</v>
      </c>
      <c r="C728" s="3" t="s">
        <v>49</v>
      </c>
      <c r="D728" s="5" t="s">
        <v>23</v>
      </c>
      <c r="E728" s="10">
        <v>1.62</v>
      </c>
      <c r="F728" s="10">
        <v>8.17</v>
      </c>
      <c r="G728" s="10">
        <f>F728-2</f>
        <v>6.17</v>
      </c>
      <c r="H728" s="10">
        <v>1.68</v>
      </c>
      <c r="I728" s="8">
        <f t="shared" si="37"/>
        <v>2.2167129599999997</v>
      </c>
      <c r="K728" s="8">
        <f t="shared" si="36"/>
        <v>12.011971181464064</v>
      </c>
      <c r="L728" s="8">
        <f t="shared" si="38"/>
        <v>6.0059855907320321</v>
      </c>
    </row>
    <row r="729" spans="1:12" x14ac:dyDescent="0.25">
      <c r="A729" s="1">
        <v>728</v>
      </c>
      <c r="B729" s="1">
        <v>620</v>
      </c>
      <c r="C729" s="3" t="s">
        <v>49</v>
      </c>
      <c r="D729" s="5" t="s">
        <v>23</v>
      </c>
      <c r="E729" s="10">
        <v>1.1100000000000001</v>
      </c>
      <c r="F729" s="10">
        <v>11.54</v>
      </c>
      <c r="G729" s="10">
        <v>3.79</v>
      </c>
      <c r="H729" s="10">
        <v>2.09</v>
      </c>
      <c r="I729" s="8">
        <f t="shared" si="37"/>
        <v>3.4307057399999992</v>
      </c>
      <c r="K729" s="8">
        <f t="shared" si="36"/>
        <v>4.3942307146486117</v>
      </c>
      <c r="L729" s="8">
        <f t="shared" si="38"/>
        <v>2.1971153573243059</v>
      </c>
    </row>
    <row r="730" spans="1:12" x14ac:dyDescent="0.25">
      <c r="A730" s="1">
        <v>729</v>
      </c>
      <c r="B730" s="1">
        <v>621</v>
      </c>
      <c r="C730" s="3" t="s">
        <v>49</v>
      </c>
      <c r="D730" s="5" t="s">
        <v>23</v>
      </c>
      <c r="E730" s="10">
        <v>1.42</v>
      </c>
      <c r="F730" s="10">
        <v>7.21</v>
      </c>
      <c r="G730" s="10">
        <f>F730-2</f>
        <v>5.21</v>
      </c>
      <c r="H730" s="10">
        <v>1.88</v>
      </c>
      <c r="I730" s="8">
        <f t="shared" si="37"/>
        <v>2.7759177599999996</v>
      </c>
      <c r="K730" s="8">
        <f t="shared" si="36"/>
        <v>8.4733566706946757</v>
      </c>
      <c r="L730" s="8">
        <f t="shared" si="38"/>
        <v>4.2366783353473378</v>
      </c>
    </row>
    <row r="731" spans="1:12" x14ac:dyDescent="0.25">
      <c r="A731" s="1">
        <v>730</v>
      </c>
      <c r="B731" s="1">
        <v>622</v>
      </c>
      <c r="C731" s="3" t="s">
        <v>49</v>
      </c>
      <c r="D731" s="5" t="s">
        <v>23</v>
      </c>
      <c r="E731" s="10">
        <v>1.78</v>
      </c>
      <c r="F731" s="10">
        <v>8.5500000000000007</v>
      </c>
      <c r="G731" s="10">
        <v>6.78</v>
      </c>
      <c r="H731" s="10">
        <v>1.74</v>
      </c>
      <c r="I731" s="8">
        <f t="shared" si="37"/>
        <v>2.37787704</v>
      </c>
      <c r="K731" s="8">
        <f t="shared" si="36"/>
        <v>14.591613542957285</v>
      </c>
      <c r="L731" s="8">
        <f t="shared" si="38"/>
        <v>7.2958067714786425</v>
      </c>
    </row>
    <row r="732" spans="1:12" x14ac:dyDescent="0.25">
      <c r="A732" s="1">
        <v>731</v>
      </c>
      <c r="B732" s="1">
        <v>623</v>
      </c>
      <c r="C732" s="3" t="s">
        <v>49</v>
      </c>
      <c r="D732" s="5" t="s">
        <v>23</v>
      </c>
      <c r="E732" s="10">
        <v>2.39</v>
      </c>
      <c r="F732" s="10">
        <v>5.29</v>
      </c>
      <c r="G732" s="10">
        <v>3.68</v>
      </c>
      <c r="H732" s="10">
        <v>1.98</v>
      </c>
      <c r="I732" s="8">
        <f t="shared" si="37"/>
        <v>3.07908216</v>
      </c>
      <c r="K732" s="8">
        <f t="shared" si="36"/>
        <v>4.135117165147614</v>
      </c>
      <c r="L732" s="8">
        <f t="shared" si="38"/>
        <v>2.067558582573807</v>
      </c>
    </row>
    <row r="733" spans="1:12" x14ac:dyDescent="0.25">
      <c r="A733" s="1">
        <v>732</v>
      </c>
      <c r="B733" s="1">
        <v>624</v>
      </c>
      <c r="C733" s="3" t="s">
        <v>49</v>
      </c>
      <c r="D733" s="5" t="s">
        <v>23</v>
      </c>
      <c r="E733" s="10">
        <v>2.0499999999999998</v>
      </c>
      <c r="F733" s="10">
        <v>6.04</v>
      </c>
      <c r="G733" s="10">
        <v>4.6900000000000004</v>
      </c>
      <c r="H733" s="10">
        <v>1.7</v>
      </c>
      <c r="I733" s="8">
        <f t="shared" si="37"/>
        <v>2.2698059999999995</v>
      </c>
      <c r="K733" s="8">
        <f t="shared" si="36"/>
        <v>6.820653803202811</v>
      </c>
      <c r="L733" s="8">
        <f t="shared" si="38"/>
        <v>3.4103269016014055</v>
      </c>
    </row>
    <row r="734" spans="1:12" x14ac:dyDescent="0.25">
      <c r="A734" s="1">
        <v>733</v>
      </c>
      <c r="B734" s="1">
        <v>625</v>
      </c>
      <c r="C734" s="3" t="s">
        <v>49</v>
      </c>
      <c r="D734" s="5" t="s">
        <v>23</v>
      </c>
      <c r="E734" s="10">
        <v>2.06</v>
      </c>
      <c r="F734" s="10">
        <v>11.91</v>
      </c>
      <c r="G734" s="10">
        <v>3.09</v>
      </c>
      <c r="H734" s="10">
        <v>1.88</v>
      </c>
      <c r="I734" s="8">
        <f t="shared" si="37"/>
        <v>2.7759177599999996</v>
      </c>
      <c r="K734" s="8">
        <f t="shared" si="36"/>
        <v>2.8833022302541975</v>
      </c>
      <c r="L734" s="8">
        <f t="shared" si="38"/>
        <v>1.4416511151270988</v>
      </c>
    </row>
    <row r="735" spans="1:12" x14ac:dyDescent="0.25">
      <c r="A735" s="1">
        <v>734</v>
      </c>
      <c r="B735" s="1">
        <v>626</v>
      </c>
      <c r="C735" s="3" t="s">
        <v>49</v>
      </c>
      <c r="D735" s="5" t="s">
        <v>23</v>
      </c>
      <c r="E735" s="10">
        <v>1.1499999999999999</v>
      </c>
      <c r="F735" s="10">
        <v>11.76</v>
      </c>
      <c r="G735" s="10">
        <v>6.28</v>
      </c>
      <c r="H735" s="10">
        <v>1.99</v>
      </c>
      <c r="I735" s="8">
        <f t="shared" si="37"/>
        <v>3.1102625399999999</v>
      </c>
      <c r="K735" s="8">
        <f t="shared" si="36"/>
        <v>12.458064368398597</v>
      </c>
      <c r="L735" s="8">
        <f t="shared" si="38"/>
        <v>6.2290321841992986</v>
      </c>
    </row>
    <row r="736" spans="1:12" x14ac:dyDescent="0.25">
      <c r="A736" s="1">
        <v>735</v>
      </c>
      <c r="B736" s="1">
        <v>627</v>
      </c>
      <c r="C736" s="3" t="s">
        <v>49</v>
      </c>
      <c r="D736" s="5" t="s">
        <v>23</v>
      </c>
      <c r="E736" s="10">
        <v>1.99</v>
      </c>
      <c r="F736" s="10">
        <v>5.03</v>
      </c>
      <c r="G736" s="10">
        <f>F736-2</f>
        <v>3.0300000000000002</v>
      </c>
      <c r="H736" s="10">
        <v>1.85</v>
      </c>
      <c r="I736" s="8">
        <f t="shared" si="37"/>
        <v>2.6880315000000001</v>
      </c>
      <c r="K736" s="8">
        <f t="shared" si="36"/>
        <v>2.7689665510245032</v>
      </c>
      <c r="L736" s="8">
        <f t="shared" si="38"/>
        <v>1.3844832755122516</v>
      </c>
    </row>
    <row r="737" spans="1:12" x14ac:dyDescent="0.25">
      <c r="A737" s="1">
        <v>736</v>
      </c>
      <c r="B737" s="1">
        <v>628</v>
      </c>
      <c r="C737" s="3" t="s">
        <v>49</v>
      </c>
      <c r="D737" s="5" t="s">
        <v>23</v>
      </c>
      <c r="E737" s="10">
        <v>1.96</v>
      </c>
      <c r="F737" s="10">
        <v>11.66</v>
      </c>
      <c r="G737" s="10">
        <v>7.19</v>
      </c>
      <c r="H737" s="10">
        <v>2.08</v>
      </c>
      <c r="I737" s="8">
        <f t="shared" si="37"/>
        <v>3.3979545600000005</v>
      </c>
      <c r="K737" s="8">
        <f t="shared" si="36"/>
        <v>16.471035791534462</v>
      </c>
      <c r="L737" s="8">
        <f t="shared" si="38"/>
        <v>8.2355178957672308</v>
      </c>
    </row>
    <row r="738" spans="1:12" x14ac:dyDescent="0.25">
      <c r="A738" s="1">
        <v>737</v>
      </c>
      <c r="B738" s="1">
        <v>629</v>
      </c>
      <c r="C738" s="3" t="s">
        <v>49</v>
      </c>
      <c r="D738" s="5" t="s">
        <v>23</v>
      </c>
      <c r="E738" s="10">
        <v>2.21</v>
      </c>
      <c r="F738" s="10">
        <v>9.4700000000000006</v>
      </c>
      <c r="G738" s="10">
        <v>5.08</v>
      </c>
      <c r="H738" s="10">
        <v>2.1</v>
      </c>
      <c r="I738" s="8">
        <f t="shared" si="37"/>
        <v>3.4636140000000002</v>
      </c>
      <c r="K738" s="8">
        <f t="shared" si="36"/>
        <v>8.0428619776756953</v>
      </c>
      <c r="L738" s="8">
        <f t="shared" si="38"/>
        <v>4.0214309888378477</v>
      </c>
    </row>
    <row r="739" spans="1:12" x14ac:dyDescent="0.25">
      <c r="A739" s="1">
        <v>738</v>
      </c>
      <c r="B739" s="1">
        <v>630</v>
      </c>
      <c r="C739" s="3" t="s">
        <v>49</v>
      </c>
      <c r="D739" s="5" t="s">
        <v>23</v>
      </c>
      <c r="E739" s="10">
        <v>1.76</v>
      </c>
      <c r="F739" s="10">
        <v>11.08</v>
      </c>
      <c r="G739" s="10">
        <v>5.0999999999999996</v>
      </c>
      <c r="H739" s="10">
        <v>1.9</v>
      </c>
      <c r="I739" s="8">
        <f t="shared" si="37"/>
        <v>2.8352939999999998</v>
      </c>
      <c r="K739" s="8">
        <f t="shared" si="36"/>
        <v>8.1083391166837924</v>
      </c>
      <c r="L739" s="8">
        <f t="shared" si="38"/>
        <v>4.0541695583418962</v>
      </c>
    </row>
    <row r="740" spans="1:12" x14ac:dyDescent="0.25">
      <c r="A740" s="1">
        <v>739</v>
      </c>
      <c r="B740" s="1">
        <v>631</v>
      </c>
      <c r="C740" s="3" t="s">
        <v>49</v>
      </c>
      <c r="D740" s="5" t="s">
        <v>23</v>
      </c>
      <c r="E740" s="10">
        <v>2.21</v>
      </c>
      <c r="F740" s="10">
        <v>8.18</v>
      </c>
      <c r="G740" s="10">
        <f>F740-2</f>
        <v>6.18</v>
      </c>
      <c r="H740" s="10">
        <v>1.84</v>
      </c>
      <c r="I740" s="8">
        <f t="shared" si="37"/>
        <v>2.65905024</v>
      </c>
      <c r="K740" s="8">
        <f t="shared" si="36"/>
        <v>12.052178742606868</v>
      </c>
      <c r="L740" s="8">
        <f t="shared" si="38"/>
        <v>6.026089371303434</v>
      </c>
    </row>
    <row r="741" spans="1:12" x14ac:dyDescent="0.25">
      <c r="A741" s="1">
        <v>740</v>
      </c>
      <c r="B741" s="1">
        <v>632</v>
      </c>
      <c r="C741" s="3" t="s">
        <v>49</v>
      </c>
      <c r="D741" s="5" t="s">
        <v>23</v>
      </c>
      <c r="E741" s="10">
        <v>1.81</v>
      </c>
      <c r="F741" s="10">
        <v>8.61</v>
      </c>
      <c r="G741" s="10">
        <v>3.34</v>
      </c>
      <c r="H741" s="10">
        <v>1.81</v>
      </c>
      <c r="I741" s="8">
        <f t="shared" si="37"/>
        <v>2.5730489400000001</v>
      </c>
      <c r="K741" s="8">
        <f t="shared" si="36"/>
        <v>3.3854131738983515</v>
      </c>
      <c r="L741" s="8">
        <f t="shared" si="38"/>
        <v>1.6927065869491758</v>
      </c>
    </row>
    <row r="742" spans="1:12" x14ac:dyDescent="0.25">
      <c r="A742" s="1">
        <v>741</v>
      </c>
      <c r="B742" s="1">
        <v>633</v>
      </c>
      <c r="C742" s="3" t="s">
        <v>49</v>
      </c>
      <c r="D742" s="5" t="s">
        <v>23</v>
      </c>
      <c r="E742" s="10">
        <v>1.17</v>
      </c>
      <c r="F742" s="10">
        <v>8.42</v>
      </c>
      <c r="G742" s="10">
        <f>F742-2</f>
        <v>6.42</v>
      </c>
      <c r="H742" s="10">
        <v>1.73</v>
      </c>
      <c r="I742" s="8">
        <f t="shared" si="37"/>
        <v>2.3506236600000001</v>
      </c>
      <c r="K742" s="8">
        <f t="shared" si="36"/>
        <v>13.037951946007702</v>
      </c>
      <c r="L742" s="8">
        <f t="shared" si="38"/>
        <v>6.518975973003851</v>
      </c>
    </row>
    <row r="743" spans="1:12" x14ac:dyDescent="0.25">
      <c r="A743" s="1">
        <v>742</v>
      </c>
      <c r="B743" s="1">
        <v>634</v>
      </c>
      <c r="C743" s="3" t="s">
        <v>49</v>
      </c>
      <c r="D743" s="5" t="s">
        <v>23</v>
      </c>
      <c r="E743" s="10">
        <v>1.94</v>
      </c>
      <c r="F743" s="10">
        <v>9.67</v>
      </c>
      <c r="G743" s="10">
        <v>8.9700000000000006</v>
      </c>
      <c r="H743" s="10">
        <v>1.97</v>
      </c>
      <c r="I743" s="8">
        <f t="shared" si="37"/>
        <v>3.0480588599999998</v>
      </c>
      <c r="K743" s="8">
        <f t="shared" si="36"/>
        <v>25.9984856346036</v>
      </c>
      <c r="L743" s="8">
        <f t="shared" si="38"/>
        <v>12.9992428173018</v>
      </c>
    </row>
    <row r="744" spans="1:12" x14ac:dyDescent="0.25">
      <c r="A744" s="1">
        <v>743</v>
      </c>
      <c r="B744" s="1">
        <v>635</v>
      </c>
      <c r="C744" s="3" t="s">
        <v>49</v>
      </c>
      <c r="D744" s="5" t="s">
        <v>23</v>
      </c>
      <c r="E744" s="10">
        <v>1.83</v>
      </c>
      <c r="F744" s="10">
        <v>5.98</v>
      </c>
      <c r="G744" s="10">
        <f>F744-2</f>
        <v>3.9800000000000004</v>
      </c>
      <c r="H744" s="10">
        <v>2.0099999999999998</v>
      </c>
      <c r="I744" s="8">
        <f t="shared" si="37"/>
        <v>3.1730945399999992</v>
      </c>
      <c r="K744" s="8">
        <f t="shared" si="36"/>
        <v>4.8609322137549293</v>
      </c>
      <c r="L744" s="8">
        <f t="shared" si="38"/>
        <v>2.4304661068774647</v>
      </c>
    </row>
    <row r="745" spans="1:12" x14ac:dyDescent="0.25">
      <c r="A745" s="1">
        <v>744</v>
      </c>
      <c r="B745" s="1">
        <v>636</v>
      </c>
      <c r="C745" s="3" t="s">
        <v>49</v>
      </c>
      <c r="D745" s="5" t="s">
        <v>23</v>
      </c>
      <c r="E745" s="10">
        <v>1.43</v>
      </c>
      <c r="F745" s="10">
        <v>5.21</v>
      </c>
      <c r="G745" s="10">
        <f>F745-2</f>
        <v>3.21</v>
      </c>
      <c r="H745" s="10">
        <v>2.04</v>
      </c>
      <c r="I745" s="8">
        <f t="shared" si="37"/>
        <v>3.2685206399999998</v>
      </c>
      <c r="K745" s="8">
        <f t="shared" si="36"/>
        <v>3.1191336211248299</v>
      </c>
      <c r="L745" s="8">
        <f t="shared" si="38"/>
        <v>1.559566810562415</v>
      </c>
    </row>
    <row r="746" spans="1:12" x14ac:dyDescent="0.25">
      <c r="A746" s="1">
        <v>745</v>
      </c>
      <c r="B746" s="1">
        <v>637</v>
      </c>
      <c r="C746" s="3" t="s">
        <v>49</v>
      </c>
      <c r="D746" s="5" t="s">
        <v>23</v>
      </c>
      <c r="E746" s="10">
        <v>2.29</v>
      </c>
      <c r="F746" s="10">
        <v>7.16</v>
      </c>
      <c r="G746" s="10">
        <f>F746-2</f>
        <v>5.16</v>
      </c>
      <c r="H746" s="10">
        <v>1.98</v>
      </c>
      <c r="I746" s="8">
        <f t="shared" si="37"/>
        <v>3.07908216</v>
      </c>
      <c r="K746" s="8">
        <f t="shared" si="36"/>
        <v>8.3064126980700017</v>
      </c>
      <c r="L746" s="8">
        <f t="shared" si="38"/>
        <v>4.1532063490350009</v>
      </c>
    </row>
    <row r="747" spans="1:12" x14ac:dyDescent="0.25">
      <c r="A747" s="1">
        <v>746</v>
      </c>
      <c r="B747" s="1">
        <v>638</v>
      </c>
      <c r="C747" s="3" t="s">
        <v>49</v>
      </c>
      <c r="D747" s="5" t="s">
        <v>23</v>
      </c>
      <c r="E747" s="10">
        <v>2.34</v>
      </c>
      <c r="F747" s="10">
        <v>9.93</v>
      </c>
      <c r="G747" s="10">
        <v>4.3</v>
      </c>
      <c r="H747" s="10">
        <v>1.94</v>
      </c>
      <c r="I747" s="8">
        <f t="shared" si="37"/>
        <v>2.9559314399999996</v>
      </c>
      <c r="K747" s="8">
        <f t="shared" si="36"/>
        <v>5.7019447352312129</v>
      </c>
      <c r="L747" s="8">
        <f t="shared" si="38"/>
        <v>2.8509723676156065</v>
      </c>
    </row>
    <row r="748" spans="1:12" x14ac:dyDescent="0.25">
      <c r="A748" s="1">
        <v>747</v>
      </c>
      <c r="B748" s="1">
        <v>639</v>
      </c>
      <c r="C748" s="3" t="s">
        <v>49</v>
      </c>
      <c r="D748" s="5" t="s">
        <v>23</v>
      </c>
      <c r="E748" s="10">
        <v>2.33</v>
      </c>
      <c r="F748" s="10">
        <v>6.41</v>
      </c>
      <c r="G748" s="10">
        <v>3.55</v>
      </c>
      <c r="H748" s="10">
        <v>1.71</v>
      </c>
      <c r="I748" s="8">
        <f t="shared" si="37"/>
        <v>2.2965881399999999</v>
      </c>
      <c r="K748" s="8">
        <f t="shared" si="36"/>
        <v>3.8393442305672671</v>
      </c>
      <c r="L748" s="8">
        <f t="shared" si="38"/>
        <v>1.9196721152836336</v>
      </c>
    </row>
    <row r="749" spans="1:12" x14ac:dyDescent="0.25">
      <c r="A749" s="1">
        <v>748</v>
      </c>
      <c r="B749" s="1">
        <v>640</v>
      </c>
      <c r="C749" s="3" t="s">
        <v>49</v>
      </c>
      <c r="D749" s="5" t="s">
        <v>23</v>
      </c>
      <c r="E749" s="10">
        <v>1.75</v>
      </c>
      <c r="F749" s="10">
        <v>9.7100000000000009</v>
      </c>
      <c r="G749" s="10">
        <v>4.68</v>
      </c>
      <c r="H749" s="10">
        <v>1.69</v>
      </c>
      <c r="I749" s="8">
        <f t="shared" si="37"/>
        <v>2.2431809399999998</v>
      </c>
      <c r="K749" s="8">
        <f t="shared" si="36"/>
        <v>6.7906784037719463</v>
      </c>
      <c r="L749" s="8">
        <f t="shared" si="38"/>
        <v>3.3953392018859732</v>
      </c>
    </row>
    <row r="750" spans="1:12" x14ac:dyDescent="0.25">
      <c r="A750" s="1">
        <v>749</v>
      </c>
      <c r="B750" s="1">
        <v>641</v>
      </c>
      <c r="C750" s="3" t="s">
        <v>49</v>
      </c>
      <c r="D750" s="5" t="s">
        <v>23</v>
      </c>
      <c r="E750" s="10">
        <v>1.93</v>
      </c>
      <c r="F750" s="10">
        <v>11.79</v>
      </c>
      <c r="G750" s="10">
        <v>8.56</v>
      </c>
      <c r="H750" s="10">
        <v>2.08</v>
      </c>
      <c r="I750" s="8">
        <f t="shared" si="37"/>
        <v>3.3979545600000005</v>
      </c>
      <c r="K750" s="8">
        <f t="shared" si="36"/>
        <v>23.605894346992759</v>
      </c>
      <c r="L750" s="8">
        <f t="shared" si="38"/>
        <v>11.80294717349638</v>
      </c>
    </row>
    <row r="751" spans="1:12" x14ac:dyDescent="0.25">
      <c r="A751" s="1">
        <v>750</v>
      </c>
      <c r="B751" s="1">
        <v>642</v>
      </c>
      <c r="C751" s="3" t="s">
        <v>49</v>
      </c>
      <c r="D751" s="5" t="s">
        <v>23</v>
      </c>
      <c r="E751" s="10">
        <v>1.31</v>
      </c>
      <c r="F751" s="10">
        <v>5.66</v>
      </c>
      <c r="G751" s="10">
        <v>3.24</v>
      </c>
      <c r="H751" s="10">
        <v>1.83</v>
      </c>
      <c r="I751" s="8">
        <f t="shared" si="37"/>
        <v>2.6302260600000005</v>
      </c>
      <c r="K751" s="8">
        <f t="shared" ref="K751:K814" si="39">0.2811*G751^2.0635</f>
        <v>3.1795852538906333</v>
      </c>
      <c r="L751" s="8">
        <f t="shared" si="38"/>
        <v>1.5897926269453166</v>
      </c>
    </row>
    <row r="752" spans="1:12" x14ac:dyDescent="0.25">
      <c r="A752" s="1">
        <v>751</v>
      </c>
      <c r="B752" s="1">
        <v>643</v>
      </c>
      <c r="C752" s="3" t="s">
        <v>49</v>
      </c>
      <c r="D752" s="5" t="s">
        <v>23</v>
      </c>
      <c r="E752" s="10">
        <v>2.1</v>
      </c>
      <c r="F752" s="10">
        <v>9.7100000000000009</v>
      </c>
      <c r="G752" s="10">
        <v>7.08</v>
      </c>
      <c r="H752" s="10">
        <v>2.04</v>
      </c>
      <c r="I752" s="8">
        <f t="shared" si="37"/>
        <v>3.2685206399999998</v>
      </c>
      <c r="K752" s="8">
        <f t="shared" si="39"/>
        <v>15.955281572347081</v>
      </c>
      <c r="L752" s="8">
        <f t="shared" si="38"/>
        <v>7.9776407861735406</v>
      </c>
    </row>
    <row r="753" spans="1:12" x14ac:dyDescent="0.25">
      <c r="A753" s="1">
        <v>752</v>
      </c>
      <c r="B753" s="1">
        <v>644</v>
      </c>
      <c r="C753" s="3" t="s">
        <v>49</v>
      </c>
      <c r="D753" s="5" t="s">
        <v>23</v>
      </c>
      <c r="E753" s="10">
        <v>1.63</v>
      </c>
      <c r="F753" s="10">
        <v>8.11</v>
      </c>
      <c r="G753" s="10">
        <f>F753-2</f>
        <v>6.1099999999999994</v>
      </c>
      <c r="H753" s="10">
        <v>1.95</v>
      </c>
      <c r="I753" s="8">
        <f t="shared" si="37"/>
        <v>2.9864834999999998</v>
      </c>
      <c r="K753" s="8">
        <f t="shared" si="39"/>
        <v>11.772179701225653</v>
      </c>
      <c r="L753" s="8">
        <f t="shared" si="38"/>
        <v>5.8860898506128265</v>
      </c>
    </row>
    <row r="754" spans="1:12" x14ac:dyDescent="0.25">
      <c r="A754" s="1">
        <v>753</v>
      </c>
      <c r="B754" s="1">
        <v>645</v>
      </c>
      <c r="C754" s="3" t="s">
        <v>49</v>
      </c>
      <c r="D754" s="5" t="s">
        <v>23</v>
      </c>
      <c r="E754" s="10">
        <v>1.4</v>
      </c>
      <c r="F754" s="10">
        <v>11.08</v>
      </c>
      <c r="G754" s="10">
        <v>8.99</v>
      </c>
      <c r="H754" s="10">
        <v>2.0299999999999998</v>
      </c>
      <c r="I754" s="8">
        <f t="shared" si="37"/>
        <v>3.2365548599999991</v>
      </c>
      <c r="K754" s="8">
        <f t="shared" si="39"/>
        <v>26.118243681499454</v>
      </c>
      <c r="L754" s="8">
        <f t="shared" si="38"/>
        <v>13.059121840749727</v>
      </c>
    </row>
    <row r="755" spans="1:12" x14ac:dyDescent="0.25">
      <c r="A755" s="1">
        <v>754</v>
      </c>
      <c r="B755" s="1">
        <v>646</v>
      </c>
      <c r="C755" s="3" t="s">
        <v>49</v>
      </c>
      <c r="D755" s="5" t="s">
        <v>23</v>
      </c>
      <c r="E755" s="10">
        <v>1.24</v>
      </c>
      <c r="F755" s="10">
        <v>6.24</v>
      </c>
      <c r="G755" s="10">
        <f>F755-2</f>
        <v>4.24</v>
      </c>
      <c r="H755" s="10">
        <v>2.09</v>
      </c>
      <c r="I755" s="8">
        <f t="shared" si="37"/>
        <v>3.4307057399999992</v>
      </c>
      <c r="K755" s="8">
        <f t="shared" si="39"/>
        <v>5.538986296332105</v>
      </c>
      <c r="L755" s="8">
        <f t="shared" si="38"/>
        <v>2.7694931481660525</v>
      </c>
    </row>
    <row r="756" spans="1:12" x14ac:dyDescent="0.25">
      <c r="A756" s="1">
        <v>755</v>
      </c>
      <c r="B756" s="1">
        <v>647</v>
      </c>
      <c r="C756" s="3" t="s">
        <v>49</v>
      </c>
      <c r="D756" s="5" t="s">
        <v>23</v>
      </c>
      <c r="E756" s="10">
        <v>1.94</v>
      </c>
      <c r="F756" s="10">
        <v>9.85</v>
      </c>
      <c r="G756" s="10">
        <v>3.45</v>
      </c>
      <c r="H756" s="10">
        <v>2.0099999999999998</v>
      </c>
      <c r="I756" s="8">
        <f t="shared" si="37"/>
        <v>3.1730945399999992</v>
      </c>
      <c r="K756" s="8">
        <f t="shared" si="39"/>
        <v>3.6195163961443777</v>
      </c>
      <c r="L756" s="8">
        <f t="shared" si="38"/>
        <v>1.8097581980721889</v>
      </c>
    </row>
    <row r="757" spans="1:12" x14ac:dyDescent="0.25">
      <c r="A757" s="1">
        <v>756</v>
      </c>
      <c r="B757" s="1">
        <v>648</v>
      </c>
      <c r="C757" s="3" t="s">
        <v>49</v>
      </c>
      <c r="D757" s="5" t="s">
        <v>23</v>
      </c>
      <c r="E757" s="10">
        <v>1.69</v>
      </c>
      <c r="F757" s="10">
        <v>10.87</v>
      </c>
      <c r="G757" s="10">
        <v>8.82</v>
      </c>
      <c r="H757" s="10">
        <v>1.7</v>
      </c>
      <c r="I757" s="8">
        <f t="shared" si="37"/>
        <v>2.2698059999999995</v>
      </c>
      <c r="K757" s="8">
        <f t="shared" si="39"/>
        <v>25.109338474325103</v>
      </c>
      <c r="L757" s="8">
        <f t="shared" si="38"/>
        <v>12.554669237162551</v>
      </c>
    </row>
    <row r="758" spans="1:12" x14ac:dyDescent="0.25">
      <c r="A758" s="1">
        <v>757</v>
      </c>
      <c r="B758" s="1">
        <v>649</v>
      </c>
      <c r="C758" s="3" t="s">
        <v>49</v>
      </c>
      <c r="D758" s="5" t="s">
        <v>23</v>
      </c>
      <c r="E758" s="10">
        <v>1.1499999999999999</v>
      </c>
      <c r="F758" s="10">
        <v>11.61</v>
      </c>
      <c r="G758" s="10">
        <v>7.19</v>
      </c>
      <c r="H758" s="10">
        <v>1.92</v>
      </c>
      <c r="I758" s="8">
        <f t="shared" si="37"/>
        <v>2.8952985600000001</v>
      </c>
      <c r="K758" s="8">
        <f t="shared" si="39"/>
        <v>16.471035791534462</v>
      </c>
      <c r="L758" s="8">
        <f t="shared" si="38"/>
        <v>8.2355178957672308</v>
      </c>
    </row>
    <row r="759" spans="1:12" x14ac:dyDescent="0.25">
      <c r="A759" s="1">
        <v>758</v>
      </c>
      <c r="B759" s="1">
        <v>650</v>
      </c>
      <c r="C759" s="3" t="s">
        <v>49</v>
      </c>
      <c r="D759" s="5" t="s">
        <v>23</v>
      </c>
      <c r="E759" s="10">
        <v>2.19</v>
      </c>
      <c r="F759" s="10">
        <v>9.7799999999999994</v>
      </c>
      <c r="G759" s="10">
        <v>3.8</v>
      </c>
      <c r="H759" s="10">
        <v>1.85</v>
      </c>
      <c r="I759" s="8">
        <f t="shared" si="37"/>
        <v>2.6880315000000001</v>
      </c>
      <c r="K759" s="8">
        <f t="shared" si="39"/>
        <v>4.4181890729503657</v>
      </c>
      <c r="L759" s="8">
        <f t="shared" si="38"/>
        <v>2.2090945364751828</v>
      </c>
    </row>
    <row r="760" spans="1:12" x14ac:dyDescent="0.25">
      <c r="A760" s="1">
        <v>759</v>
      </c>
      <c r="B760" s="1">
        <v>651</v>
      </c>
      <c r="C760" s="3" t="s">
        <v>49</v>
      </c>
      <c r="D760" s="5" t="s">
        <v>23</v>
      </c>
      <c r="E760" s="10">
        <v>1.96</v>
      </c>
      <c r="F760" s="10">
        <v>8.48</v>
      </c>
      <c r="G760" s="10">
        <v>3.66</v>
      </c>
      <c r="H760" s="10">
        <v>1.81</v>
      </c>
      <c r="I760" s="8">
        <f t="shared" si="37"/>
        <v>2.5730489400000001</v>
      </c>
      <c r="K760" s="8">
        <f t="shared" si="39"/>
        <v>4.0888771774241404</v>
      </c>
      <c r="L760" s="8">
        <f t="shared" si="38"/>
        <v>2.0444385887120702</v>
      </c>
    </row>
    <row r="761" spans="1:12" x14ac:dyDescent="0.25">
      <c r="A761" s="1">
        <v>760</v>
      </c>
      <c r="B761" s="1">
        <v>652</v>
      </c>
      <c r="C761" s="3" t="s">
        <v>49</v>
      </c>
      <c r="D761" s="5" t="s">
        <v>23</v>
      </c>
      <c r="E761" s="10">
        <v>1.85</v>
      </c>
      <c r="F761" s="10">
        <v>9.32</v>
      </c>
      <c r="G761" s="10">
        <f>F761-2</f>
        <v>7.32</v>
      </c>
      <c r="H761" s="10">
        <v>1.99</v>
      </c>
      <c r="I761" s="8">
        <f t="shared" si="37"/>
        <v>3.1102625399999999</v>
      </c>
      <c r="K761" s="8">
        <f t="shared" si="39"/>
        <v>17.091471744374502</v>
      </c>
      <c r="L761" s="8">
        <f t="shared" si="38"/>
        <v>8.5457358721872509</v>
      </c>
    </row>
    <row r="762" spans="1:12" x14ac:dyDescent="0.25">
      <c r="A762" s="1">
        <v>761</v>
      </c>
      <c r="B762" s="1">
        <v>653</v>
      </c>
      <c r="C762" s="3" t="s">
        <v>49</v>
      </c>
      <c r="D762" s="5" t="s">
        <v>23</v>
      </c>
      <c r="E762" s="10">
        <v>1.6</v>
      </c>
      <c r="F762" s="10">
        <v>11.08</v>
      </c>
      <c r="G762" s="10">
        <v>7.68</v>
      </c>
      <c r="H762" s="10">
        <v>1.9</v>
      </c>
      <c r="I762" s="8">
        <f t="shared" si="37"/>
        <v>2.8352939999999998</v>
      </c>
      <c r="K762" s="8">
        <f t="shared" si="39"/>
        <v>18.871382752055279</v>
      </c>
      <c r="L762" s="8">
        <f t="shared" si="38"/>
        <v>9.4356913760276395</v>
      </c>
    </row>
    <row r="763" spans="1:12" x14ac:dyDescent="0.25">
      <c r="A763" s="1">
        <v>762</v>
      </c>
      <c r="B763" s="1">
        <v>654</v>
      </c>
      <c r="C763" s="3" t="s">
        <v>49</v>
      </c>
      <c r="D763" s="5" t="s">
        <v>23</v>
      </c>
      <c r="E763" s="10">
        <v>2.0299999999999998</v>
      </c>
      <c r="F763" s="10">
        <v>8.99</v>
      </c>
      <c r="G763" s="10">
        <f>F763-2</f>
        <v>6.99</v>
      </c>
      <c r="H763" s="10">
        <v>2</v>
      </c>
      <c r="I763" s="8">
        <f t="shared" si="37"/>
        <v>3.1415999999999999</v>
      </c>
      <c r="K763" s="8">
        <f t="shared" si="39"/>
        <v>15.539587912696357</v>
      </c>
      <c r="L763" s="8">
        <f t="shared" si="38"/>
        <v>7.7697939563481784</v>
      </c>
    </row>
    <row r="764" spans="1:12" x14ac:dyDescent="0.25">
      <c r="A764" s="1">
        <v>763</v>
      </c>
      <c r="B764" s="1">
        <v>655</v>
      </c>
      <c r="C764" s="3" t="s">
        <v>49</v>
      </c>
      <c r="D764" s="5" t="s">
        <v>23</v>
      </c>
      <c r="E764" s="10">
        <v>1.59</v>
      </c>
      <c r="F764" s="10">
        <v>5.21</v>
      </c>
      <c r="G764" s="10">
        <f>F764-2</f>
        <v>3.21</v>
      </c>
      <c r="H764" s="10">
        <v>2.0699999999999998</v>
      </c>
      <c r="I764" s="8">
        <f t="shared" si="37"/>
        <v>3.3653604599999993</v>
      </c>
      <c r="K764" s="8">
        <f t="shared" si="39"/>
        <v>3.1191336211248299</v>
      </c>
      <c r="L764" s="8">
        <f t="shared" si="38"/>
        <v>1.559566810562415</v>
      </c>
    </row>
    <row r="765" spans="1:12" x14ac:dyDescent="0.25">
      <c r="A765" s="1">
        <v>764</v>
      </c>
      <c r="B765" s="1">
        <v>656</v>
      </c>
      <c r="C765" s="3" t="s">
        <v>49</v>
      </c>
      <c r="D765" s="5" t="s">
        <v>23</v>
      </c>
      <c r="E765" s="10">
        <v>1.78</v>
      </c>
      <c r="F765" s="10">
        <v>11.52</v>
      </c>
      <c r="G765" s="10">
        <v>7</v>
      </c>
      <c r="H765" s="10">
        <v>1.86</v>
      </c>
      <c r="I765" s="8">
        <f t="shared" si="37"/>
        <v>2.7171698400000004</v>
      </c>
      <c r="K765" s="8">
        <f t="shared" si="39"/>
        <v>15.585496831017041</v>
      </c>
      <c r="L765" s="8">
        <f t="shared" si="38"/>
        <v>7.7927484155085205</v>
      </c>
    </row>
    <row r="766" spans="1:12" x14ac:dyDescent="0.25">
      <c r="A766" s="1">
        <v>765</v>
      </c>
      <c r="B766" s="1">
        <v>657</v>
      </c>
      <c r="C766" s="3" t="s">
        <v>49</v>
      </c>
      <c r="D766" s="5" t="s">
        <v>23</v>
      </c>
      <c r="E766" s="10">
        <v>1.84</v>
      </c>
      <c r="F766" s="10">
        <v>9.83</v>
      </c>
      <c r="G766" s="10">
        <v>6.62</v>
      </c>
      <c r="H766" s="10">
        <v>1.75</v>
      </c>
      <c r="I766" s="8">
        <f t="shared" si="37"/>
        <v>2.4052875</v>
      </c>
      <c r="K766" s="8">
        <f t="shared" si="39"/>
        <v>13.88996997059817</v>
      </c>
      <c r="L766" s="8">
        <f t="shared" si="38"/>
        <v>6.9449849852990848</v>
      </c>
    </row>
    <row r="767" spans="1:12" x14ac:dyDescent="0.25">
      <c r="A767" s="1">
        <v>766</v>
      </c>
      <c r="B767" s="1">
        <v>658</v>
      </c>
      <c r="C767" s="3" t="s">
        <v>49</v>
      </c>
      <c r="D767" s="5" t="s">
        <v>23</v>
      </c>
      <c r="E767" s="10">
        <v>1.47</v>
      </c>
      <c r="F767" s="10">
        <v>9.74</v>
      </c>
      <c r="G767" s="10">
        <v>6.01</v>
      </c>
      <c r="H767" s="10">
        <v>1.72</v>
      </c>
      <c r="I767" s="8">
        <f t="shared" si="37"/>
        <v>2.3235273599999999</v>
      </c>
      <c r="K767" s="8">
        <f t="shared" si="39"/>
        <v>11.378062593154223</v>
      </c>
      <c r="L767" s="8">
        <f t="shared" si="38"/>
        <v>5.6890312965771113</v>
      </c>
    </row>
    <row r="768" spans="1:12" x14ac:dyDescent="0.25">
      <c r="A768" s="1">
        <v>767</v>
      </c>
      <c r="B768" s="1">
        <v>659</v>
      </c>
      <c r="C768" s="3" t="s">
        <v>49</v>
      </c>
      <c r="D768" s="5" t="s">
        <v>23</v>
      </c>
      <c r="E768" s="10">
        <v>1.76</v>
      </c>
      <c r="F768" s="10">
        <v>6.51</v>
      </c>
      <c r="G768" s="10">
        <v>5.22</v>
      </c>
      <c r="H768" s="10">
        <v>1.98</v>
      </c>
      <c r="I768" s="8">
        <f t="shared" si="37"/>
        <v>3.07908216</v>
      </c>
      <c r="K768" s="8">
        <f t="shared" si="39"/>
        <v>8.5069509466186517</v>
      </c>
      <c r="L768" s="8">
        <f t="shared" si="38"/>
        <v>4.2534754733093258</v>
      </c>
    </row>
    <row r="769" spans="1:12" x14ac:dyDescent="0.25">
      <c r="A769" s="1">
        <v>768</v>
      </c>
      <c r="B769" s="1">
        <v>660</v>
      </c>
      <c r="C769" s="3" t="s">
        <v>49</v>
      </c>
      <c r="D769" s="5" t="s">
        <v>23</v>
      </c>
      <c r="E769" s="10">
        <v>1.84</v>
      </c>
      <c r="F769" s="10">
        <v>9.61</v>
      </c>
      <c r="G769" s="10">
        <v>6.04</v>
      </c>
      <c r="H769" s="10">
        <v>1.83</v>
      </c>
      <c r="I769" s="8">
        <f t="shared" si="37"/>
        <v>2.6302260600000005</v>
      </c>
      <c r="K769" s="8">
        <f t="shared" si="39"/>
        <v>11.49557153833489</v>
      </c>
      <c r="L769" s="8">
        <f t="shared" si="38"/>
        <v>5.7477857691674448</v>
      </c>
    </row>
    <row r="770" spans="1:12" x14ac:dyDescent="0.25">
      <c r="A770" s="1">
        <v>769</v>
      </c>
      <c r="B770" s="1">
        <v>661</v>
      </c>
      <c r="C770" s="3" t="s">
        <v>49</v>
      </c>
      <c r="D770" s="5" t="s">
        <v>23</v>
      </c>
      <c r="E770" s="10">
        <v>1.55</v>
      </c>
      <c r="F770" s="10">
        <v>7.76</v>
      </c>
      <c r="G770" s="10">
        <f>F770-2</f>
        <v>5.76</v>
      </c>
      <c r="H770" s="10">
        <v>1.77</v>
      </c>
      <c r="I770" s="8">
        <f t="shared" si="37"/>
        <v>2.4605796600000001</v>
      </c>
      <c r="K770" s="8">
        <f t="shared" si="39"/>
        <v>10.422997657250791</v>
      </c>
      <c r="L770" s="8">
        <f t="shared" si="38"/>
        <v>5.2114988286253956</v>
      </c>
    </row>
    <row r="771" spans="1:12" x14ac:dyDescent="0.25">
      <c r="A771" s="1">
        <v>770</v>
      </c>
      <c r="B771" s="1">
        <v>662</v>
      </c>
      <c r="C771" s="3" t="s">
        <v>49</v>
      </c>
      <c r="D771" s="5" t="s">
        <v>23</v>
      </c>
      <c r="E771" s="10">
        <v>2.0499999999999998</v>
      </c>
      <c r="F771" s="10">
        <v>9.56</v>
      </c>
      <c r="G771" s="10">
        <v>7.21</v>
      </c>
      <c r="H771" s="10">
        <v>1.93</v>
      </c>
      <c r="I771" s="8">
        <f t="shared" ref="I771:I834" si="40">0.7854*H771^2</f>
        <v>2.92553646</v>
      </c>
      <c r="K771" s="8">
        <f t="shared" si="39"/>
        <v>16.565718011895054</v>
      </c>
      <c r="L771" s="8">
        <f t="shared" ref="L771:L834" si="41">K771*0.5</f>
        <v>8.2828590059475271</v>
      </c>
    </row>
    <row r="772" spans="1:12" x14ac:dyDescent="0.25">
      <c r="A772" s="1">
        <v>771</v>
      </c>
      <c r="B772" s="1">
        <v>663</v>
      </c>
      <c r="C772" s="3" t="s">
        <v>49</v>
      </c>
      <c r="D772" s="5" t="s">
        <v>23</v>
      </c>
      <c r="E772" s="10">
        <v>1.84</v>
      </c>
      <c r="F772" s="10">
        <v>5.75</v>
      </c>
      <c r="G772" s="10">
        <f>F772-2</f>
        <v>3.75</v>
      </c>
      <c r="H772" s="10">
        <v>1.92</v>
      </c>
      <c r="I772" s="8">
        <f t="shared" si="40"/>
        <v>2.8952985600000001</v>
      </c>
      <c r="K772" s="8">
        <f t="shared" si="39"/>
        <v>4.2990685146535457</v>
      </c>
      <c r="L772" s="8">
        <f t="shared" si="41"/>
        <v>2.1495342573267728</v>
      </c>
    </row>
    <row r="773" spans="1:12" x14ac:dyDescent="0.25">
      <c r="A773" s="1">
        <v>772</v>
      </c>
      <c r="B773" s="1">
        <v>664</v>
      </c>
      <c r="C773" s="3" t="s">
        <v>49</v>
      </c>
      <c r="D773" s="5" t="s">
        <v>23</v>
      </c>
      <c r="E773" s="10">
        <v>1.85</v>
      </c>
      <c r="F773" s="10">
        <v>9.6</v>
      </c>
      <c r="G773" s="10">
        <v>6.1</v>
      </c>
      <c r="H773" s="10">
        <v>1.84</v>
      </c>
      <c r="I773" s="8">
        <f t="shared" si="40"/>
        <v>2.65905024</v>
      </c>
      <c r="K773" s="8">
        <f t="shared" si="39"/>
        <v>11.732456702137226</v>
      </c>
      <c r="L773" s="8">
        <f t="shared" si="41"/>
        <v>5.8662283510686128</v>
      </c>
    </row>
    <row r="774" spans="1:12" x14ac:dyDescent="0.25">
      <c r="A774" s="1">
        <v>773</v>
      </c>
      <c r="B774" s="1">
        <v>665</v>
      </c>
      <c r="C774" s="3" t="s">
        <v>49</v>
      </c>
      <c r="D774" s="5" t="s">
        <v>23</v>
      </c>
      <c r="E774" s="10">
        <v>1.86</v>
      </c>
      <c r="F774" s="10">
        <v>12</v>
      </c>
      <c r="G774" s="10">
        <v>7.25</v>
      </c>
      <c r="H774" s="10">
        <v>1.94</v>
      </c>
      <c r="I774" s="8">
        <f t="shared" si="40"/>
        <v>2.9559314399999996</v>
      </c>
      <c r="K774" s="8">
        <f t="shared" si="39"/>
        <v>16.755921696910974</v>
      </c>
      <c r="L774" s="8">
        <f t="shared" si="41"/>
        <v>8.3779608484554871</v>
      </c>
    </row>
    <row r="775" spans="1:12" x14ac:dyDescent="0.25">
      <c r="A775" s="1">
        <v>774</v>
      </c>
      <c r="B775" s="1">
        <v>666</v>
      </c>
      <c r="C775" s="3" t="s">
        <v>49</v>
      </c>
      <c r="D775" s="5" t="s">
        <v>23</v>
      </c>
      <c r="E775" s="10">
        <v>1.38</v>
      </c>
      <c r="F775" s="10">
        <v>5.34</v>
      </c>
      <c r="G775" s="10">
        <f>F775-2</f>
        <v>3.34</v>
      </c>
      <c r="H775" s="10">
        <v>1.81</v>
      </c>
      <c r="I775" s="8">
        <f t="shared" si="40"/>
        <v>2.5730489400000001</v>
      </c>
      <c r="K775" s="8">
        <f t="shared" si="39"/>
        <v>3.3854131738983515</v>
      </c>
      <c r="L775" s="8">
        <f t="shared" si="41"/>
        <v>1.6927065869491758</v>
      </c>
    </row>
    <row r="776" spans="1:12" x14ac:dyDescent="0.25">
      <c r="A776" s="1">
        <v>775</v>
      </c>
      <c r="B776" s="1">
        <v>667</v>
      </c>
      <c r="C776" s="3" t="s">
        <v>49</v>
      </c>
      <c r="D776" s="5" t="s">
        <v>23</v>
      </c>
      <c r="E776" s="10">
        <v>1.87</v>
      </c>
      <c r="F776" s="10">
        <v>11.84</v>
      </c>
      <c r="G776" s="10">
        <v>7.14</v>
      </c>
      <c r="H776" s="10">
        <v>1.98</v>
      </c>
      <c r="I776" s="8">
        <f t="shared" si="40"/>
        <v>3.07908216</v>
      </c>
      <c r="K776" s="8">
        <f t="shared" si="39"/>
        <v>16.235553742706394</v>
      </c>
      <c r="L776" s="8">
        <f t="shared" si="41"/>
        <v>8.1177768713531968</v>
      </c>
    </row>
    <row r="777" spans="1:12" x14ac:dyDescent="0.25">
      <c r="A777" s="1">
        <v>776</v>
      </c>
      <c r="B777" s="1">
        <v>668</v>
      </c>
      <c r="C777" s="3" t="s">
        <v>49</v>
      </c>
      <c r="D777" s="5" t="s">
        <v>23</v>
      </c>
      <c r="E777" s="10">
        <v>2.2999999999999998</v>
      </c>
      <c r="F777" s="10">
        <v>7.85</v>
      </c>
      <c r="G777" s="10">
        <f>F777-2</f>
        <v>5.85</v>
      </c>
      <c r="H777" s="10">
        <v>2.06</v>
      </c>
      <c r="I777" s="8">
        <f t="shared" si="40"/>
        <v>3.3329234399999996</v>
      </c>
      <c r="K777" s="8">
        <f t="shared" si="39"/>
        <v>10.761851010177423</v>
      </c>
      <c r="L777" s="8">
        <f t="shared" si="41"/>
        <v>5.3809255050887117</v>
      </c>
    </row>
    <row r="778" spans="1:12" x14ac:dyDescent="0.25">
      <c r="A778" s="1">
        <v>777</v>
      </c>
      <c r="B778" s="1">
        <v>669</v>
      </c>
      <c r="C778" s="3" t="s">
        <v>49</v>
      </c>
      <c r="D778" s="5" t="s">
        <v>23</v>
      </c>
      <c r="E778" s="10">
        <v>1.86</v>
      </c>
      <c r="F778" s="10">
        <v>11.1</v>
      </c>
      <c r="G778" s="10">
        <v>4.66</v>
      </c>
      <c r="H778" s="10">
        <v>1.98</v>
      </c>
      <c r="I778" s="8">
        <f t="shared" si="40"/>
        <v>3.07908216</v>
      </c>
      <c r="K778" s="8">
        <f t="shared" si="39"/>
        <v>6.7309317152507449</v>
      </c>
      <c r="L778" s="8">
        <f t="shared" si="41"/>
        <v>3.3654658576253724</v>
      </c>
    </row>
    <row r="779" spans="1:12" x14ac:dyDescent="0.25">
      <c r="A779" s="1">
        <v>778</v>
      </c>
      <c r="B779" s="1">
        <v>670</v>
      </c>
      <c r="C779" s="3" t="s">
        <v>49</v>
      </c>
      <c r="D779" s="5" t="s">
        <v>23</v>
      </c>
      <c r="E779" s="10">
        <v>1.64</v>
      </c>
      <c r="F779" s="10">
        <v>10.48</v>
      </c>
      <c r="G779" s="10">
        <v>6.59</v>
      </c>
      <c r="H779" s="10">
        <v>1.91</v>
      </c>
      <c r="I779" s="8">
        <f t="shared" si="40"/>
        <v>2.8652177399999998</v>
      </c>
      <c r="K779" s="8">
        <f t="shared" si="39"/>
        <v>13.760394932592229</v>
      </c>
      <c r="L779" s="8">
        <f t="shared" si="41"/>
        <v>6.8801974662961145</v>
      </c>
    </row>
    <row r="780" spans="1:12" x14ac:dyDescent="0.25">
      <c r="A780" s="1">
        <v>779</v>
      </c>
      <c r="B780" s="1">
        <v>671</v>
      </c>
      <c r="C780" s="3" t="s">
        <v>49</v>
      </c>
      <c r="D780" s="5" t="s">
        <v>23</v>
      </c>
      <c r="E780" s="10">
        <v>2.33</v>
      </c>
      <c r="F780" s="10">
        <v>8.9700000000000006</v>
      </c>
      <c r="G780" s="10">
        <v>3.73</v>
      </c>
      <c r="H780" s="10">
        <v>2.06</v>
      </c>
      <c r="I780" s="8">
        <f t="shared" si="40"/>
        <v>3.3329234399999996</v>
      </c>
      <c r="K780" s="8">
        <f t="shared" si="39"/>
        <v>4.251889996226927</v>
      </c>
      <c r="L780" s="8">
        <f t="shared" si="41"/>
        <v>2.1259449981134635</v>
      </c>
    </row>
    <row r="781" spans="1:12" x14ac:dyDescent="0.25">
      <c r="A781" s="1">
        <v>780</v>
      </c>
      <c r="B781" s="1">
        <v>672</v>
      </c>
      <c r="C781" s="3" t="s">
        <v>49</v>
      </c>
      <c r="D781" s="5" t="s">
        <v>23</v>
      </c>
      <c r="E781" s="10">
        <v>1.96</v>
      </c>
      <c r="F781" s="10">
        <v>10.17</v>
      </c>
      <c r="G781" s="10">
        <v>5.69</v>
      </c>
      <c r="H781" s="10">
        <v>2.09</v>
      </c>
      <c r="I781" s="8">
        <f t="shared" si="40"/>
        <v>3.4307057399999992</v>
      </c>
      <c r="K781" s="8">
        <f t="shared" si="39"/>
        <v>10.163306132545083</v>
      </c>
      <c r="L781" s="8">
        <f t="shared" si="41"/>
        <v>5.0816530662725414</v>
      </c>
    </row>
    <row r="782" spans="1:12" x14ac:dyDescent="0.25">
      <c r="A782" s="1">
        <v>781</v>
      </c>
      <c r="B782" s="1">
        <v>673</v>
      </c>
      <c r="C782" s="3" t="s">
        <v>49</v>
      </c>
      <c r="D782" s="5" t="s">
        <v>23</v>
      </c>
      <c r="E782" s="10">
        <v>2.0499999999999998</v>
      </c>
      <c r="F782" s="10">
        <v>11.15</v>
      </c>
      <c r="G782" s="10">
        <v>6.41</v>
      </c>
      <c r="H782" s="10">
        <v>1.82</v>
      </c>
      <c r="I782" s="8">
        <f t="shared" si="40"/>
        <v>2.6015589600000002</v>
      </c>
      <c r="K782" s="8">
        <f t="shared" si="39"/>
        <v>12.99608040250927</v>
      </c>
      <c r="L782" s="8">
        <f t="shared" si="41"/>
        <v>6.4980402012546348</v>
      </c>
    </row>
    <row r="783" spans="1:12" x14ac:dyDescent="0.25">
      <c r="A783" s="1">
        <v>782</v>
      </c>
      <c r="B783" s="1">
        <v>674</v>
      </c>
      <c r="C783" s="3" t="s">
        <v>49</v>
      </c>
      <c r="D783" s="5" t="s">
        <v>23</v>
      </c>
      <c r="E783" s="10">
        <v>1.97</v>
      </c>
      <c r="F783" s="10">
        <v>7.83</v>
      </c>
      <c r="G783" s="10">
        <f>F783-2</f>
        <v>5.83</v>
      </c>
      <c r="H783" s="10">
        <v>2.04</v>
      </c>
      <c r="I783" s="8">
        <f t="shared" si="40"/>
        <v>3.2685206399999998</v>
      </c>
      <c r="K783" s="8">
        <f t="shared" si="39"/>
        <v>10.686067382309096</v>
      </c>
      <c r="L783" s="8">
        <f t="shared" si="41"/>
        <v>5.343033691154548</v>
      </c>
    </row>
    <row r="784" spans="1:12" x14ac:dyDescent="0.25">
      <c r="A784" s="1">
        <v>783</v>
      </c>
      <c r="B784" s="1">
        <v>675</v>
      </c>
      <c r="C784" s="3" t="s">
        <v>49</v>
      </c>
      <c r="D784" s="5" t="s">
        <v>23</v>
      </c>
      <c r="E784" s="10">
        <v>1.93</v>
      </c>
      <c r="F784" s="10">
        <v>7.29</v>
      </c>
      <c r="G784" s="10">
        <f>F784-2</f>
        <v>5.29</v>
      </c>
      <c r="H784" s="10">
        <v>1.72</v>
      </c>
      <c r="I784" s="8">
        <f t="shared" si="40"/>
        <v>2.3235273599999999</v>
      </c>
      <c r="K784" s="8">
        <f t="shared" si="39"/>
        <v>8.7440297157412878</v>
      </c>
      <c r="L784" s="8">
        <f t="shared" si="41"/>
        <v>4.3720148578706439</v>
      </c>
    </row>
    <row r="785" spans="1:12" x14ac:dyDescent="0.25">
      <c r="A785" s="1">
        <v>784</v>
      </c>
      <c r="B785" s="1">
        <v>676</v>
      </c>
      <c r="C785" s="3" t="s">
        <v>49</v>
      </c>
      <c r="D785" s="5" t="s">
        <v>23</v>
      </c>
      <c r="E785" s="10">
        <v>1.37</v>
      </c>
      <c r="F785" s="10">
        <v>9.67</v>
      </c>
      <c r="G785" s="10">
        <v>7.2</v>
      </c>
      <c r="H785" s="10">
        <v>1.93</v>
      </c>
      <c r="I785" s="8">
        <f t="shared" si="40"/>
        <v>2.92553646</v>
      </c>
      <c r="K785" s="8">
        <f t="shared" si="39"/>
        <v>16.518341938333428</v>
      </c>
      <c r="L785" s="8">
        <f t="shared" si="41"/>
        <v>8.2591709691667141</v>
      </c>
    </row>
    <row r="786" spans="1:12" x14ac:dyDescent="0.25">
      <c r="A786" s="1">
        <v>785</v>
      </c>
      <c r="B786" s="1">
        <v>677</v>
      </c>
      <c r="C786" s="3" t="s">
        <v>49</v>
      </c>
      <c r="D786" s="5" t="s">
        <v>23</v>
      </c>
      <c r="E786" s="10">
        <v>1.53</v>
      </c>
      <c r="F786" s="10">
        <v>10.65</v>
      </c>
      <c r="G786" s="10">
        <v>8.2100000000000009</v>
      </c>
      <c r="H786" s="10">
        <v>1.91</v>
      </c>
      <c r="I786" s="8">
        <f t="shared" si="40"/>
        <v>2.8652177399999998</v>
      </c>
      <c r="K786" s="8">
        <f t="shared" si="39"/>
        <v>21.657481411740651</v>
      </c>
      <c r="L786" s="8">
        <f t="shared" si="41"/>
        <v>10.828740705870326</v>
      </c>
    </row>
    <row r="787" spans="1:12" x14ac:dyDescent="0.25">
      <c r="A787" s="1">
        <v>786</v>
      </c>
      <c r="B787" s="1">
        <v>678</v>
      </c>
      <c r="C787" s="3" t="s">
        <v>49</v>
      </c>
      <c r="D787" s="5" t="s">
        <v>23</v>
      </c>
      <c r="E787" s="10">
        <v>1.52</v>
      </c>
      <c r="F787" s="10">
        <v>10.34</v>
      </c>
      <c r="G787" s="10">
        <v>6.54</v>
      </c>
      <c r="H787" s="10">
        <v>1.88</v>
      </c>
      <c r="I787" s="8">
        <f t="shared" si="40"/>
        <v>2.7759177599999996</v>
      </c>
      <c r="K787" s="8">
        <f t="shared" si="39"/>
        <v>13.545827141723132</v>
      </c>
      <c r="L787" s="8">
        <f t="shared" si="41"/>
        <v>6.772913570861566</v>
      </c>
    </row>
    <row r="788" spans="1:12" x14ac:dyDescent="0.25">
      <c r="A788" s="1">
        <v>787</v>
      </c>
      <c r="B788" s="1">
        <v>679</v>
      </c>
      <c r="C788" s="3" t="s">
        <v>49</v>
      </c>
      <c r="D788" s="5" t="s">
        <v>23</v>
      </c>
      <c r="E788" s="10">
        <v>1.48</v>
      </c>
      <c r="F788" s="10">
        <v>10.58</v>
      </c>
      <c r="G788" s="10">
        <v>7.44</v>
      </c>
      <c r="H788" s="10">
        <v>1.82</v>
      </c>
      <c r="I788" s="8">
        <f t="shared" si="40"/>
        <v>2.6015589600000002</v>
      </c>
      <c r="K788" s="8">
        <f t="shared" si="39"/>
        <v>17.674681565461903</v>
      </c>
      <c r="L788" s="8">
        <f t="shared" si="41"/>
        <v>8.8373407827309514</v>
      </c>
    </row>
    <row r="789" spans="1:12" x14ac:dyDescent="0.25">
      <c r="A789" s="1">
        <v>788</v>
      </c>
      <c r="B789" s="1">
        <v>680</v>
      </c>
      <c r="C789" s="3" t="s">
        <v>49</v>
      </c>
      <c r="D789" s="5" t="s">
        <v>23</v>
      </c>
      <c r="E789" s="10">
        <v>1.44</v>
      </c>
      <c r="F789" s="10">
        <v>8.0500000000000007</v>
      </c>
      <c r="G789" s="10">
        <v>3.5</v>
      </c>
      <c r="H789" s="10">
        <v>1.76</v>
      </c>
      <c r="I789" s="8">
        <f t="shared" si="40"/>
        <v>2.4328550399999997</v>
      </c>
      <c r="K789" s="8">
        <f t="shared" si="39"/>
        <v>3.7285953628971171</v>
      </c>
      <c r="L789" s="8">
        <f t="shared" si="41"/>
        <v>1.8642976814485586</v>
      </c>
    </row>
    <row r="790" spans="1:12" x14ac:dyDescent="0.25">
      <c r="A790" s="1">
        <v>789</v>
      </c>
      <c r="B790" s="1">
        <v>681</v>
      </c>
      <c r="C790" s="3" t="s">
        <v>49</v>
      </c>
      <c r="D790" s="5" t="s">
        <v>23</v>
      </c>
      <c r="E790" s="10">
        <v>1.46</v>
      </c>
      <c r="F790" s="10">
        <v>10.72</v>
      </c>
      <c r="G790" s="10">
        <v>4.78</v>
      </c>
      <c r="H790" s="10">
        <v>1.92</v>
      </c>
      <c r="I790" s="8">
        <f t="shared" si="40"/>
        <v>2.8952985600000001</v>
      </c>
      <c r="K790" s="8">
        <f t="shared" si="39"/>
        <v>7.0934957075126288</v>
      </c>
      <c r="L790" s="8">
        <f t="shared" si="41"/>
        <v>3.5467478537563144</v>
      </c>
    </row>
    <row r="791" spans="1:12" x14ac:dyDescent="0.25">
      <c r="A791" s="1">
        <v>790</v>
      </c>
      <c r="B791" s="1">
        <v>682</v>
      </c>
      <c r="C791" s="3" t="s">
        <v>49</v>
      </c>
      <c r="D791" s="5" t="s">
        <v>23</v>
      </c>
      <c r="E791" s="10">
        <v>2.35</v>
      </c>
      <c r="F791" s="10">
        <v>5.84</v>
      </c>
      <c r="G791" s="10">
        <v>5.53</v>
      </c>
      <c r="H791" s="10">
        <v>1.94</v>
      </c>
      <c r="I791" s="8">
        <f t="shared" si="40"/>
        <v>2.9559314399999996</v>
      </c>
      <c r="K791" s="8">
        <f t="shared" si="39"/>
        <v>9.5823968738114988</v>
      </c>
      <c r="L791" s="8">
        <f t="shared" si="41"/>
        <v>4.7911984369057494</v>
      </c>
    </row>
    <row r="792" spans="1:12" x14ac:dyDescent="0.25">
      <c r="A792" s="1">
        <v>791</v>
      </c>
      <c r="B792" s="1">
        <v>683</v>
      </c>
      <c r="C792" s="3" t="s">
        <v>49</v>
      </c>
      <c r="D792" s="5" t="s">
        <v>23</v>
      </c>
      <c r="E792" s="10">
        <v>1.55</v>
      </c>
      <c r="F792" s="10">
        <v>8.81</v>
      </c>
      <c r="G792" s="10">
        <v>6.31</v>
      </c>
      <c r="H792" s="10">
        <v>1.95</v>
      </c>
      <c r="I792" s="8">
        <f t="shared" si="40"/>
        <v>2.9864834999999998</v>
      </c>
      <c r="K792" s="8">
        <f t="shared" si="39"/>
        <v>12.581181521596957</v>
      </c>
      <c r="L792" s="8">
        <f t="shared" si="41"/>
        <v>6.2905907607984783</v>
      </c>
    </row>
    <row r="793" spans="1:12" x14ac:dyDescent="0.25">
      <c r="A793" s="1">
        <v>792</v>
      </c>
      <c r="B793" s="1">
        <v>684</v>
      </c>
      <c r="C793" s="3" t="s">
        <v>49</v>
      </c>
      <c r="D793" s="5" t="s">
        <v>23</v>
      </c>
      <c r="E793" s="10">
        <v>1.66</v>
      </c>
      <c r="F793" s="10">
        <v>5.04</v>
      </c>
      <c r="G793" s="10">
        <v>3.32</v>
      </c>
      <c r="H793" s="10">
        <v>1.81</v>
      </c>
      <c r="I793" s="8">
        <f t="shared" si="40"/>
        <v>2.5730489400000001</v>
      </c>
      <c r="K793" s="8">
        <f t="shared" si="39"/>
        <v>3.3437152146177551</v>
      </c>
      <c r="L793" s="8">
        <f t="shared" si="41"/>
        <v>1.6718576073088776</v>
      </c>
    </row>
    <row r="794" spans="1:12" x14ac:dyDescent="0.25">
      <c r="A794" s="1">
        <v>793</v>
      </c>
      <c r="B794" s="1">
        <v>685</v>
      </c>
      <c r="C794" s="3" t="s">
        <v>49</v>
      </c>
      <c r="D794" s="5" t="s">
        <v>23</v>
      </c>
      <c r="E794" s="10">
        <v>2.21</v>
      </c>
      <c r="F794" s="10">
        <v>7.27</v>
      </c>
      <c r="G794" s="10">
        <v>3.98</v>
      </c>
      <c r="H794" s="10">
        <v>1.8</v>
      </c>
      <c r="I794" s="8">
        <f t="shared" si="40"/>
        <v>2.5446960000000001</v>
      </c>
      <c r="K794" s="8">
        <f t="shared" si="39"/>
        <v>4.8609322137549276</v>
      </c>
      <c r="L794" s="8">
        <f t="shared" si="41"/>
        <v>2.4304661068774638</v>
      </c>
    </row>
    <row r="795" spans="1:12" x14ac:dyDescent="0.25">
      <c r="A795" s="1">
        <v>794</v>
      </c>
      <c r="B795" s="1">
        <v>686</v>
      </c>
      <c r="C795" s="3" t="s">
        <v>49</v>
      </c>
      <c r="D795" s="5" t="s">
        <v>23</v>
      </c>
      <c r="E795" s="10">
        <v>1.17</v>
      </c>
      <c r="F795" s="10">
        <v>7.57</v>
      </c>
      <c r="G795" s="10">
        <v>4.9400000000000004</v>
      </c>
      <c r="H795" s="10">
        <v>2.08</v>
      </c>
      <c r="I795" s="8">
        <f t="shared" si="40"/>
        <v>3.3979545600000005</v>
      </c>
      <c r="K795" s="8">
        <f t="shared" si="39"/>
        <v>7.5921784031148354</v>
      </c>
      <c r="L795" s="8">
        <f t="shared" si="41"/>
        <v>3.7960892015574177</v>
      </c>
    </row>
    <row r="796" spans="1:12" x14ac:dyDescent="0.25">
      <c r="A796" s="1">
        <v>795</v>
      </c>
      <c r="B796" s="1">
        <v>687</v>
      </c>
      <c r="C796" s="3" t="s">
        <v>49</v>
      </c>
      <c r="D796" s="5" t="s">
        <v>23</v>
      </c>
      <c r="E796" s="10">
        <v>2.36</v>
      </c>
      <c r="F796" s="10">
        <v>7.77</v>
      </c>
      <c r="G796" s="10">
        <f>F796-2</f>
        <v>5.77</v>
      </c>
      <c r="H796" s="10">
        <v>2.0499999999999998</v>
      </c>
      <c r="I796" s="8">
        <f t="shared" si="40"/>
        <v>3.3006434999999996</v>
      </c>
      <c r="K796" s="8">
        <f t="shared" si="39"/>
        <v>10.460372157171879</v>
      </c>
      <c r="L796" s="8">
        <f t="shared" si="41"/>
        <v>5.2301860785859393</v>
      </c>
    </row>
    <row r="797" spans="1:12" x14ac:dyDescent="0.25">
      <c r="A797" s="1">
        <v>796</v>
      </c>
      <c r="B797" s="1">
        <v>688</v>
      </c>
      <c r="C797" s="3" t="s">
        <v>49</v>
      </c>
      <c r="D797" s="5" t="s">
        <v>23</v>
      </c>
      <c r="E797" s="10">
        <v>2.1</v>
      </c>
      <c r="F797" s="10">
        <v>9.8699999999999992</v>
      </c>
      <c r="G797" s="10">
        <v>5.32</v>
      </c>
      <c r="H797" s="10">
        <v>1.93</v>
      </c>
      <c r="I797" s="8">
        <f t="shared" si="40"/>
        <v>2.92553646</v>
      </c>
      <c r="K797" s="8">
        <f t="shared" si="39"/>
        <v>8.8466633063888427</v>
      </c>
      <c r="L797" s="8">
        <f t="shared" si="41"/>
        <v>4.4233316531944213</v>
      </c>
    </row>
    <row r="798" spans="1:12" x14ac:dyDescent="0.25">
      <c r="A798" s="1">
        <v>797</v>
      </c>
      <c r="B798" s="1">
        <v>689</v>
      </c>
      <c r="C798" s="3" t="s">
        <v>49</v>
      </c>
      <c r="D798" s="5" t="s">
        <v>23</v>
      </c>
      <c r="E798" s="10">
        <v>2.08</v>
      </c>
      <c r="F798" s="10">
        <v>7.72</v>
      </c>
      <c r="G798" s="10">
        <v>6.37</v>
      </c>
      <c r="H798" s="10">
        <v>1.7</v>
      </c>
      <c r="I798" s="8">
        <f t="shared" si="40"/>
        <v>2.2698059999999995</v>
      </c>
      <c r="K798" s="8">
        <f t="shared" si="39"/>
        <v>12.829288285620837</v>
      </c>
      <c r="L798" s="8">
        <f t="shared" si="41"/>
        <v>6.4146441428104186</v>
      </c>
    </row>
    <row r="799" spans="1:12" x14ac:dyDescent="0.25">
      <c r="A799" s="1">
        <v>798</v>
      </c>
      <c r="B799" s="1">
        <v>690</v>
      </c>
      <c r="C799" s="3" t="s">
        <v>49</v>
      </c>
      <c r="D799" s="5" t="s">
        <v>23</v>
      </c>
      <c r="E799" s="10">
        <v>1.23</v>
      </c>
      <c r="F799" s="10">
        <v>8.14</v>
      </c>
      <c r="G799" s="10">
        <v>4.37</v>
      </c>
      <c r="H799" s="10">
        <v>1.88</v>
      </c>
      <c r="I799" s="8">
        <f t="shared" si="40"/>
        <v>2.7759177599999996</v>
      </c>
      <c r="K799" s="8">
        <f t="shared" si="39"/>
        <v>5.8951422730282443</v>
      </c>
      <c r="L799" s="8">
        <f t="shared" si="41"/>
        <v>2.9475711365141222</v>
      </c>
    </row>
    <row r="800" spans="1:12" x14ac:dyDescent="0.25">
      <c r="A800" s="1">
        <v>799</v>
      </c>
      <c r="B800" s="1">
        <v>691</v>
      </c>
      <c r="C800" s="3" t="s">
        <v>49</v>
      </c>
      <c r="D800" s="5" t="s">
        <v>23</v>
      </c>
      <c r="E800" s="10">
        <v>1.37</v>
      </c>
      <c r="F800" s="10">
        <v>6.66</v>
      </c>
      <c r="G800" s="10">
        <f>F800-2</f>
        <v>4.66</v>
      </c>
      <c r="H800" s="10">
        <v>2.06</v>
      </c>
      <c r="I800" s="8">
        <f t="shared" si="40"/>
        <v>3.3329234399999996</v>
      </c>
      <c r="K800" s="8">
        <f t="shared" si="39"/>
        <v>6.7309317152507449</v>
      </c>
      <c r="L800" s="8">
        <f t="shared" si="41"/>
        <v>3.3654658576253724</v>
      </c>
    </row>
    <row r="801" spans="1:12" x14ac:dyDescent="0.25">
      <c r="A801" s="1">
        <v>800</v>
      </c>
      <c r="B801" s="1">
        <v>692</v>
      </c>
      <c r="C801" s="3" t="s">
        <v>49</v>
      </c>
      <c r="D801" s="5" t="s">
        <v>23</v>
      </c>
      <c r="E801" s="10">
        <v>2.2200000000000002</v>
      </c>
      <c r="F801" s="10">
        <v>7.61</v>
      </c>
      <c r="G801" s="10">
        <v>4.96</v>
      </c>
      <c r="H801" s="10">
        <v>1.76</v>
      </c>
      <c r="I801" s="8">
        <f t="shared" si="40"/>
        <v>2.4328550399999997</v>
      </c>
      <c r="K801" s="8">
        <f t="shared" si="39"/>
        <v>7.6557419266391911</v>
      </c>
      <c r="L801" s="8">
        <f t="shared" si="41"/>
        <v>3.8278709633195955</v>
      </c>
    </row>
    <row r="802" spans="1:12" x14ac:dyDescent="0.25">
      <c r="A802" s="1">
        <v>801</v>
      </c>
      <c r="B802" s="1">
        <v>693</v>
      </c>
      <c r="C802" s="3" t="s">
        <v>49</v>
      </c>
      <c r="D802" s="5" t="s">
        <v>23</v>
      </c>
      <c r="E802" s="10">
        <v>1.55</v>
      </c>
      <c r="F802" s="10">
        <v>6.59</v>
      </c>
      <c r="G802" s="10">
        <v>4.45</v>
      </c>
      <c r="H802" s="10">
        <v>1.8</v>
      </c>
      <c r="I802" s="8">
        <f t="shared" si="40"/>
        <v>2.5446960000000001</v>
      </c>
      <c r="K802" s="8">
        <f t="shared" si="39"/>
        <v>6.1200043138042322</v>
      </c>
      <c r="L802" s="8">
        <f t="shared" si="41"/>
        <v>3.0600021569021161</v>
      </c>
    </row>
    <row r="803" spans="1:12" x14ac:dyDescent="0.25">
      <c r="A803" s="1">
        <v>802</v>
      </c>
      <c r="B803" s="1">
        <v>694</v>
      </c>
      <c r="C803" s="3" t="s">
        <v>49</v>
      </c>
      <c r="D803" s="5" t="s">
        <v>23</v>
      </c>
      <c r="E803" s="10">
        <v>2.23</v>
      </c>
      <c r="F803" s="10">
        <v>5.51</v>
      </c>
      <c r="G803" s="10">
        <f>F803-2</f>
        <v>3.51</v>
      </c>
      <c r="H803" s="10">
        <v>1.69</v>
      </c>
      <c r="I803" s="8">
        <f t="shared" si="40"/>
        <v>2.2431809399999998</v>
      </c>
      <c r="K803" s="8">
        <f t="shared" si="39"/>
        <v>3.7506114959143617</v>
      </c>
      <c r="L803" s="8">
        <f t="shared" si="41"/>
        <v>1.8753057479571809</v>
      </c>
    </row>
    <row r="804" spans="1:12" x14ac:dyDescent="0.25">
      <c r="A804" s="1">
        <v>803</v>
      </c>
      <c r="B804" s="1">
        <v>695</v>
      </c>
      <c r="C804" s="3" t="s">
        <v>49</v>
      </c>
      <c r="D804" s="5" t="s">
        <v>23</v>
      </c>
      <c r="E804" s="10">
        <v>1.17</v>
      </c>
      <c r="F804" s="10">
        <v>9.2200000000000006</v>
      </c>
      <c r="G804" s="10">
        <v>3.04</v>
      </c>
      <c r="H804" s="10">
        <v>2</v>
      </c>
      <c r="I804" s="8">
        <f t="shared" si="40"/>
        <v>3.1415999999999999</v>
      </c>
      <c r="K804" s="8">
        <f t="shared" si="39"/>
        <v>2.7878569488735776</v>
      </c>
      <c r="L804" s="8">
        <f t="shared" si="41"/>
        <v>1.3939284744367888</v>
      </c>
    </row>
    <row r="805" spans="1:12" x14ac:dyDescent="0.25">
      <c r="A805" s="1">
        <v>804</v>
      </c>
      <c r="B805" s="1">
        <v>696</v>
      </c>
      <c r="C805" s="3" t="s">
        <v>49</v>
      </c>
      <c r="D805" s="5" t="s">
        <v>23</v>
      </c>
      <c r="E805" s="10">
        <v>2.1</v>
      </c>
      <c r="F805" s="10">
        <v>9.68</v>
      </c>
      <c r="G805" s="10">
        <v>3.05</v>
      </c>
      <c r="H805" s="10">
        <v>2.0499999999999998</v>
      </c>
      <c r="I805" s="8">
        <f t="shared" si="40"/>
        <v>3.3006434999999996</v>
      </c>
      <c r="K805" s="8">
        <f t="shared" si="39"/>
        <v>2.8068135478312781</v>
      </c>
      <c r="L805" s="8">
        <f t="shared" si="41"/>
        <v>1.4034067739156391</v>
      </c>
    </row>
    <row r="806" spans="1:12" x14ac:dyDescent="0.25">
      <c r="A806" s="1">
        <v>805</v>
      </c>
      <c r="B806" s="1">
        <v>697</v>
      </c>
      <c r="C806" s="3" t="s">
        <v>49</v>
      </c>
      <c r="D806" s="5" t="s">
        <v>23</v>
      </c>
      <c r="E806" s="10">
        <v>1.51</v>
      </c>
      <c r="F806" s="10">
        <v>9.34</v>
      </c>
      <c r="G806" s="10">
        <v>4.53</v>
      </c>
      <c r="H806" s="10">
        <v>1.7</v>
      </c>
      <c r="I806" s="8">
        <f t="shared" si="40"/>
        <v>2.2698059999999995</v>
      </c>
      <c r="K806" s="8">
        <f t="shared" si="39"/>
        <v>6.3492069864236145</v>
      </c>
      <c r="L806" s="8">
        <f t="shared" si="41"/>
        <v>3.1746034932118072</v>
      </c>
    </row>
    <row r="807" spans="1:12" x14ac:dyDescent="0.25">
      <c r="A807" s="1">
        <v>806</v>
      </c>
      <c r="B807" s="1">
        <v>698</v>
      </c>
      <c r="C807" s="3" t="s">
        <v>49</v>
      </c>
      <c r="D807" s="5" t="s">
        <v>23</v>
      </c>
      <c r="E807" s="10">
        <v>2.3199999999999998</v>
      </c>
      <c r="F807" s="10">
        <v>8.24</v>
      </c>
      <c r="G807" s="10">
        <v>3.26</v>
      </c>
      <c r="H807" s="10">
        <v>1.89</v>
      </c>
      <c r="I807" s="8">
        <f t="shared" si="40"/>
        <v>2.8055273399999998</v>
      </c>
      <c r="K807" s="8">
        <f t="shared" si="39"/>
        <v>3.2202186680862033</v>
      </c>
      <c r="L807" s="8">
        <f t="shared" si="41"/>
        <v>1.6101093340431016</v>
      </c>
    </row>
    <row r="808" spans="1:12" x14ac:dyDescent="0.25">
      <c r="A808" s="1">
        <v>807</v>
      </c>
      <c r="B808" s="1">
        <v>699</v>
      </c>
      <c r="C808" s="3" t="s">
        <v>49</v>
      </c>
      <c r="D808" s="5" t="s">
        <v>23</v>
      </c>
      <c r="E808" s="10">
        <v>1.2</v>
      </c>
      <c r="F808" s="10">
        <v>7.66</v>
      </c>
      <c r="G808" s="10">
        <v>3.76</v>
      </c>
      <c r="H808" s="10">
        <v>1.91</v>
      </c>
      <c r="I808" s="8">
        <f t="shared" si="40"/>
        <v>2.8652177399999998</v>
      </c>
      <c r="K808" s="8">
        <f t="shared" si="39"/>
        <v>4.3227584022506305</v>
      </c>
      <c r="L808" s="8">
        <f t="shared" si="41"/>
        <v>2.1613792011253152</v>
      </c>
    </row>
    <row r="809" spans="1:12" x14ac:dyDescent="0.25">
      <c r="A809" s="1">
        <v>808</v>
      </c>
      <c r="B809" s="1">
        <v>700</v>
      </c>
      <c r="C809" s="3" t="s">
        <v>49</v>
      </c>
      <c r="D809" s="5" t="s">
        <v>23</v>
      </c>
      <c r="E809" s="10">
        <v>1.66</v>
      </c>
      <c r="F809" s="10">
        <v>11.04</v>
      </c>
      <c r="G809" s="10">
        <v>5.37</v>
      </c>
      <c r="H809" s="10">
        <v>1.99</v>
      </c>
      <c r="I809" s="8">
        <f t="shared" si="40"/>
        <v>3.1102625399999999</v>
      </c>
      <c r="K809" s="8">
        <f t="shared" si="39"/>
        <v>9.0190913176514442</v>
      </c>
      <c r="L809" s="8">
        <f t="shared" si="41"/>
        <v>4.5095456588257221</v>
      </c>
    </row>
    <row r="810" spans="1:12" x14ac:dyDescent="0.25">
      <c r="A810" s="1">
        <v>809</v>
      </c>
      <c r="B810" s="1">
        <v>701</v>
      </c>
      <c r="C810" s="3" t="s">
        <v>49</v>
      </c>
      <c r="D810" s="5" t="s">
        <v>23</v>
      </c>
      <c r="E810" s="10">
        <v>2.2400000000000002</v>
      </c>
      <c r="F810" s="10">
        <v>8.6300000000000008</v>
      </c>
      <c r="G810" s="10">
        <f>F810-2</f>
        <v>6.6300000000000008</v>
      </c>
      <c r="H810" s="10">
        <v>1.75</v>
      </c>
      <c r="I810" s="8">
        <f t="shared" si="40"/>
        <v>2.4052875</v>
      </c>
      <c r="K810" s="8">
        <f t="shared" si="39"/>
        <v>13.933300750687332</v>
      </c>
      <c r="L810" s="8">
        <f t="shared" si="41"/>
        <v>6.9666503753436659</v>
      </c>
    </row>
    <row r="811" spans="1:12" x14ac:dyDescent="0.25">
      <c r="A811" s="1">
        <v>810</v>
      </c>
      <c r="B811" s="1">
        <v>702</v>
      </c>
      <c r="C811" s="3" t="s">
        <v>49</v>
      </c>
      <c r="D811" s="5" t="s">
        <v>23</v>
      </c>
      <c r="E811" s="10">
        <v>1.77</v>
      </c>
      <c r="F811" s="10">
        <v>8.35</v>
      </c>
      <c r="G811" s="10">
        <v>7</v>
      </c>
      <c r="H811" s="10">
        <v>1.85</v>
      </c>
      <c r="I811" s="8">
        <f t="shared" si="40"/>
        <v>2.6880315000000001</v>
      </c>
      <c r="K811" s="8">
        <f t="shared" si="39"/>
        <v>15.585496831017041</v>
      </c>
      <c r="L811" s="8">
        <f t="shared" si="41"/>
        <v>7.7927484155085205</v>
      </c>
    </row>
    <row r="812" spans="1:12" x14ac:dyDescent="0.25">
      <c r="A812" s="1">
        <v>811</v>
      </c>
      <c r="B812" s="1">
        <v>703</v>
      </c>
      <c r="C812" s="3" t="s">
        <v>49</v>
      </c>
      <c r="D812" s="5" t="s">
        <v>23</v>
      </c>
      <c r="E812" s="10">
        <v>2.16</v>
      </c>
      <c r="F812" s="10">
        <v>5.18</v>
      </c>
      <c r="G812" s="10">
        <f>F812-2</f>
        <v>3.1799999999999997</v>
      </c>
      <c r="H812" s="10">
        <v>1.96</v>
      </c>
      <c r="I812" s="8">
        <f t="shared" si="40"/>
        <v>3.0171926399999998</v>
      </c>
      <c r="K812" s="8">
        <f t="shared" si="39"/>
        <v>3.0592798603444176</v>
      </c>
      <c r="L812" s="8">
        <f t="shared" si="41"/>
        <v>1.5296399301722088</v>
      </c>
    </row>
    <row r="813" spans="1:12" x14ac:dyDescent="0.25">
      <c r="A813" s="1">
        <v>812</v>
      </c>
      <c r="B813" s="1">
        <v>704</v>
      </c>
      <c r="C813" s="3" t="s">
        <v>49</v>
      </c>
      <c r="D813" s="5" t="s">
        <v>23</v>
      </c>
      <c r="E813" s="10">
        <v>1.25</v>
      </c>
      <c r="F813" s="10">
        <v>7.39</v>
      </c>
      <c r="G813" s="10">
        <v>5.05</v>
      </c>
      <c r="H813" s="10">
        <v>2.09</v>
      </c>
      <c r="I813" s="8">
        <f t="shared" si="40"/>
        <v>3.4307057399999992</v>
      </c>
      <c r="K813" s="8">
        <f t="shared" si="39"/>
        <v>7.9451592111717204</v>
      </c>
      <c r="L813" s="8">
        <f t="shared" si="41"/>
        <v>3.9725796055858602</v>
      </c>
    </row>
    <row r="814" spans="1:12" x14ac:dyDescent="0.25">
      <c r="A814" s="1">
        <v>813</v>
      </c>
      <c r="B814" s="1">
        <v>705</v>
      </c>
      <c r="C814" s="3" t="s">
        <v>49</v>
      </c>
      <c r="D814" s="5" t="s">
        <v>23</v>
      </c>
      <c r="E814" s="10">
        <v>1.3</v>
      </c>
      <c r="F814" s="10">
        <v>7.66</v>
      </c>
      <c r="G814" s="10">
        <f>F814-2</f>
        <v>5.66</v>
      </c>
      <c r="H814" s="10">
        <v>2.1</v>
      </c>
      <c r="I814" s="8">
        <f t="shared" si="40"/>
        <v>3.4636140000000002</v>
      </c>
      <c r="K814" s="8">
        <f t="shared" si="39"/>
        <v>10.053043259086071</v>
      </c>
      <c r="L814" s="8">
        <f t="shared" si="41"/>
        <v>5.0265216295430353</v>
      </c>
    </row>
    <row r="815" spans="1:12" x14ac:dyDescent="0.25">
      <c r="A815" s="1">
        <v>814</v>
      </c>
      <c r="B815" s="1">
        <v>706</v>
      </c>
      <c r="C815" s="3" t="s">
        <v>49</v>
      </c>
      <c r="D815" s="5" t="s">
        <v>23</v>
      </c>
      <c r="E815" s="10">
        <v>1.46</v>
      </c>
      <c r="F815" s="10">
        <v>7.79</v>
      </c>
      <c r="G815" s="10">
        <v>5.78</v>
      </c>
      <c r="H815" s="10">
        <v>1.85</v>
      </c>
      <c r="I815" s="8">
        <f t="shared" si="40"/>
        <v>2.6880315000000001</v>
      </c>
      <c r="K815" s="8">
        <f t="shared" ref="K815:K878" si="42">0.2811*G815^2.0635</f>
        <v>10.49781560760105</v>
      </c>
      <c r="L815" s="8">
        <f t="shared" si="41"/>
        <v>5.2489078038005248</v>
      </c>
    </row>
    <row r="816" spans="1:12" x14ac:dyDescent="0.25">
      <c r="A816" s="1">
        <v>815</v>
      </c>
      <c r="B816" s="1">
        <v>707</v>
      </c>
      <c r="C816" s="3" t="s">
        <v>49</v>
      </c>
      <c r="D816" s="5" t="s">
        <v>23</v>
      </c>
      <c r="E816" s="10">
        <v>1.87</v>
      </c>
      <c r="F816" s="10">
        <v>9.06</v>
      </c>
      <c r="G816" s="10">
        <v>3.61</v>
      </c>
      <c r="H816" s="10">
        <v>1.99</v>
      </c>
      <c r="I816" s="8">
        <f t="shared" si="40"/>
        <v>3.1102625399999999</v>
      </c>
      <c r="K816" s="8">
        <f t="shared" si="42"/>
        <v>3.9744492584101887</v>
      </c>
      <c r="L816" s="8">
        <f t="shared" si="41"/>
        <v>1.9872246292050944</v>
      </c>
    </row>
    <row r="817" spans="1:12" x14ac:dyDescent="0.25">
      <c r="A817" s="1">
        <v>816</v>
      </c>
      <c r="B817" s="1">
        <v>708</v>
      </c>
      <c r="C817" s="3" t="s">
        <v>49</v>
      </c>
      <c r="D817" s="5" t="s">
        <v>23</v>
      </c>
      <c r="E817" s="10">
        <v>1.18</v>
      </c>
      <c r="F817" s="10">
        <v>8.74</v>
      </c>
      <c r="G817" s="10">
        <v>7.32</v>
      </c>
      <c r="H817" s="10">
        <v>1.76</v>
      </c>
      <c r="I817" s="8">
        <f t="shared" si="40"/>
        <v>2.4328550399999997</v>
      </c>
      <c r="K817" s="8">
        <f t="shared" si="42"/>
        <v>17.091471744374502</v>
      </c>
      <c r="L817" s="8">
        <f t="shared" si="41"/>
        <v>8.5457358721872509</v>
      </c>
    </row>
    <row r="818" spans="1:12" x14ac:dyDescent="0.25">
      <c r="A818" s="1">
        <v>817</v>
      </c>
      <c r="B818" s="1">
        <v>709</v>
      </c>
      <c r="C818" s="3" t="s">
        <v>49</v>
      </c>
      <c r="D818" s="5" t="s">
        <v>23</v>
      </c>
      <c r="E818" s="10">
        <v>1.35</v>
      </c>
      <c r="F818" s="10">
        <v>9.26</v>
      </c>
      <c r="G818" s="10">
        <v>3.8</v>
      </c>
      <c r="H818" s="10">
        <v>1.77</v>
      </c>
      <c r="I818" s="8">
        <f t="shared" si="40"/>
        <v>2.4605796600000001</v>
      </c>
      <c r="K818" s="8">
        <f t="shared" si="42"/>
        <v>4.4181890729503657</v>
      </c>
      <c r="L818" s="8">
        <f t="shared" si="41"/>
        <v>2.2090945364751828</v>
      </c>
    </row>
    <row r="819" spans="1:12" x14ac:dyDescent="0.25">
      <c r="A819" s="1">
        <v>818</v>
      </c>
      <c r="B819" s="1">
        <v>710</v>
      </c>
      <c r="C819" s="3" t="s">
        <v>49</v>
      </c>
      <c r="D819" s="5" t="s">
        <v>23</v>
      </c>
      <c r="E819" s="10">
        <v>1.76</v>
      </c>
      <c r="F819" s="10">
        <v>10.35</v>
      </c>
      <c r="G819" s="10">
        <v>5.42</v>
      </c>
      <c r="H819" s="10">
        <v>2.0499999999999998</v>
      </c>
      <c r="I819" s="8">
        <f t="shared" si="40"/>
        <v>3.3006434999999996</v>
      </c>
      <c r="K819" s="8">
        <f t="shared" si="42"/>
        <v>9.1932352448289585</v>
      </c>
      <c r="L819" s="8">
        <f t="shared" si="41"/>
        <v>4.5966176224144792</v>
      </c>
    </row>
    <row r="820" spans="1:12" x14ac:dyDescent="0.25">
      <c r="A820" s="1">
        <v>819</v>
      </c>
      <c r="B820" s="1">
        <v>711</v>
      </c>
      <c r="C820" s="3" t="s">
        <v>49</v>
      </c>
      <c r="D820" s="5" t="s">
        <v>23</v>
      </c>
      <c r="E820" s="10">
        <v>1.27</v>
      </c>
      <c r="F820" s="10">
        <v>10.69</v>
      </c>
      <c r="G820" s="10">
        <v>6.55</v>
      </c>
      <c r="H820" s="10">
        <v>1.7</v>
      </c>
      <c r="I820" s="8">
        <f t="shared" si="40"/>
        <v>2.2698059999999995</v>
      </c>
      <c r="K820" s="8">
        <f t="shared" si="42"/>
        <v>13.588601670650926</v>
      </c>
      <c r="L820" s="8">
        <f t="shared" si="41"/>
        <v>6.7943008353254628</v>
      </c>
    </row>
    <row r="821" spans="1:12" x14ac:dyDescent="0.25">
      <c r="A821" s="1">
        <v>820</v>
      </c>
      <c r="B821" s="1">
        <v>712</v>
      </c>
      <c r="C821" s="3" t="s">
        <v>49</v>
      </c>
      <c r="D821" s="5" t="s">
        <v>23</v>
      </c>
      <c r="E821" s="10">
        <v>1.39</v>
      </c>
      <c r="F821" s="10">
        <v>10.029999999999999</v>
      </c>
      <c r="G821" s="10">
        <v>9.1199999999999992</v>
      </c>
      <c r="H821" s="10">
        <v>1.79</v>
      </c>
      <c r="I821" s="8">
        <f t="shared" si="40"/>
        <v>2.5165001399999998</v>
      </c>
      <c r="K821" s="8">
        <f t="shared" si="42"/>
        <v>26.903587436358865</v>
      </c>
      <c r="L821" s="8">
        <f t="shared" si="41"/>
        <v>13.451793718179433</v>
      </c>
    </row>
    <row r="822" spans="1:12" x14ac:dyDescent="0.25">
      <c r="A822" s="1">
        <v>821</v>
      </c>
      <c r="B822" s="1">
        <v>713</v>
      </c>
      <c r="C822" s="3" t="s">
        <v>49</v>
      </c>
      <c r="D822" s="5" t="s">
        <v>23</v>
      </c>
      <c r="E822" s="10">
        <v>1.72</v>
      </c>
      <c r="F822" s="10">
        <v>11.69</v>
      </c>
      <c r="G822" s="10">
        <v>6.45</v>
      </c>
      <c r="H822" s="10">
        <v>1.81</v>
      </c>
      <c r="I822" s="8">
        <f t="shared" si="40"/>
        <v>2.5730489400000001</v>
      </c>
      <c r="K822" s="8">
        <f t="shared" si="42"/>
        <v>13.163983120747019</v>
      </c>
      <c r="L822" s="8">
        <f t="shared" si="41"/>
        <v>6.5819915603735097</v>
      </c>
    </row>
    <row r="823" spans="1:12" x14ac:dyDescent="0.25">
      <c r="A823" s="1">
        <v>822</v>
      </c>
      <c r="B823" s="1">
        <v>714</v>
      </c>
      <c r="C823" s="3" t="s">
        <v>49</v>
      </c>
      <c r="D823" s="5" t="s">
        <v>23</v>
      </c>
      <c r="E823" s="10">
        <v>1.28</v>
      </c>
      <c r="F823" s="10">
        <v>5.13</v>
      </c>
      <c r="G823" s="10">
        <f>F823-2</f>
        <v>3.13</v>
      </c>
      <c r="H823" s="10">
        <v>1.88</v>
      </c>
      <c r="I823" s="8">
        <f t="shared" si="40"/>
        <v>2.7759177599999996</v>
      </c>
      <c r="K823" s="8">
        <f t="shared" si="42"/>
        <v>2.9608512274163559</v>
      </c>
      <c r="L823" s="8">
        <f t="shared" si="41"/>
        <v>1.4804256137081779</v>
      </c>
    </row>
    <row r="824" spans="1:12" x14ac:dyDescent="0.25">
      <c r="A824" s="1">
        <v>823</v>
      </c>
      <c r="B824" s="1">
        <v>715</v>
      </c>
      <c r="C824" s="3" t="s">
        <v>49</v>
      </c>
      <c r="D824" s="5" t="s">
        <v>23</v>
      </c>
      <c r="E824" s="10">
        <v>2.0699999999999998</v>
      </c>
      <c r="F824" s="10">
        <v>6.37</v>
      </c>
      <c r="G824" s="10">
        <f>F824-2</f>
        <v>4.37</v>
      </c>
      <c r="H824" s="10">
        <v>1.73</v>
      </c>
      <c r="I824" s="8">
        <f t="shared" si="40"/>
        <v>2.3506236600000001</v>
      </c>
      <c r="K824" s="8">
        <f t="shared" si="42"/>
        <v>5.8951422730282443</v>
      </c>
      <c r="L824" s="8">
        <f t="shared" si="41"/>
        <v>2.9475711365141222</v>
      </c>
    </row>
    <row r="825" spans="1:12" x14ac:dyDescent="0.25">
      <c r="A825" s="1">
        <v>824</v>
      </c>
      <c r="B825" s="1">
        <v>716</v>
      </c>
      <c r="C825" s="3" t="s">
        <v>49</v>
      </c>
      <c r="D825" s="5" t="s">
        <v>23</v>
      </c>
      <c r="E825" s="10">
        <v>2.35</v>
      </c>
      <c r="F825" s="10">
        <v>5.05</v>
      </c>
      <c r="G825" s="10">
        <v>3.92</v>
      </c>
      <c r="H825" s="10">
        <v>1.88</v>
      </c>
      <c r="I825" s="8">
        <f t="shared" si="40"/>
        <v>2.7759177599999996</v>
      </c>
      <c r="K825" s="8">
        <f t="shared" si="42"/>
        <v>4.7109299330343282</v>
      </c>
      <c r="L825" s="8">
        <f t="shared" si="41"/>
        <v>2.3554649665171641</v>
      </c>
    </row>
    <row r="826" spans="1:12" x14ac:dyDescent="0.25">
      <c r="A826" s="1">
        <v>825</v>
      </c>
      <c r="B826" s="1">
        <v>717</v>
      </c>
      <c r="C826" s="3" t="s">
        <v>49</v>
      </c>
      <c r="D826" s="5" t="s">
        <v>23</v>
      </c>
      <c r="E826" s="10">
        <v>1.93</v>
      </c>
      <c r="F826" s="10">
        <v>9.5299999999999994</v>
      </c>
      <c r="G826" s="10">
        <v>4.92</v>
      </c>
      <c r="H826" s="10">
        <v>2.04</v>
      </c>
      <c r="I826" s="8">
        <f t="shared" si="40"/>
        <v>3.2685206399999998</v>
      </c>
      <c r="K826" s="8">
        <f t="shared" si="42"/>
        <v>7.5288879750190141</v>
      </c>
      <c r="L826" s="8">
        <f t="shared" si="41"/>
        <v>3.764443987509507</v>
      </c>
    </row>
    <row r="827" spans="1:12" x14ac:dyDescent="0.25">
      <c r="A827" s="1">
        <v>826</v>
      </c>
      <c r="B827" s="1">
        <v>718</v>
      </c>
      <c r="C827" s="3" t="s">
        <v>49</v>
      </c>
      <c r="D827" s="5" t="s">
        <v>23</v>
      </c>
      <c r="E827" s="10">
        <v>1.84</v>
      </c>
      <c r="F827" s="10">
        <v>11.29</v>
      </c>
      <c r="G827" s="10">
        <v>5.76</v>
      </c>
      <c r="H827" s="10">
        <v>1.8</v>
      </c>
      <c r="I827" s="8">
        <f t="shared" si="40"/>
        <v>2.5446960000000001</v>
      </c>
      <c r="K827" s="8">
        <f t="shared" si="42"/>
        <v>10.422997657250791</v>
      </c>
      <c r="L827" s="8">
        <f t="shared" si="41"/>
        <v>5.2114988286253956</v>
      </c>
    </row>
    <row r="828" spans="1:12" x14ac:dyDescent="0.25">
      <c r="A828" s="1">
        <v>827</v>
      </c>
      <c r="B828" s="1">
        <v>719</v>
      </c>
      <c r="C828" s="3" t="s">
        <v>49</v>
      </c>
      <c r="D828" s="5" t="s">
        <v>23</v>
      </c>
      <c r="E828" s="10">
        <v>1.42</v>
      </c>
      <c r="F828" s="10">
        <v>6.7</v>
      </c>
      <c r="G828" s="10">
        <v>5.95</v>
      </c>
      <c r="H828" s="10">
        <v>1.74</v>
      </c>
      <c r="I828" s="8">
        <f t="shared" si="40"/>
        <v>2.37787704</v>
      </c>
      <c r="K828" s="8">
        <f t="shared" si="42"/>
        <v>11.144910992479065</v>
      </c>
      <c r="L828" s="8">
        <f t="shared" si="41"/>
        <v>5.5724554962395327</v>
      </c>
    </row>
    <row r="829" spans="1:12" x14ac:dyDescent="0.25">
      <c r="A829" s="1">
        <v>828</v>
      </c>
      <c r="B829" s="1">
        <v>720</v>
      </c>
      <c r="C829" s="3" t="s">
        <v>49</v>
      </c>
      <c r="D829" s="5" t="s">
        <v>23</v>
      </c>
      <c r="E829" s="10">
        <v>1.91</v>
      </c>
      <c r="F829" s="10">
        <v>11.49</v>
      </c>
      <c r="G829" s="10">
        <v>5.88</v>
      </c>
      <c r="H829" s="10">
        <v>2.0499999999999998</v>
      </c>
      <c r="I829" s="8">
        <f t="shared" si="40"/>
        <v>3.3006434999999996</v>
      </c>
      <c r="K829" s="8">
        <f t="shared" si="42"/>
        <v>10.876044051831922</v>
      </c>
      <c r="L829" s="8">
        <f t="shared" si="41"/>
        <v>5.4380220259159611</v>
      </c>
    </row>
    <row r="830" spans="1:12" x14ac:dyDescent="0.25">
      <c r="A830" s="1">
        <v>829</v>
      </c>
      <c r="B830" s="1">
        <v>721</v>
      </c>
      <c r="C830" s="3" t="s">
        <v>49</v>
      </c>
      <c r="D830" s="5" t="s">
        <v>23</v>
      </c>
      <c r="E830" s="10">
        <v>1.1599999999999999</v>
      </c>
      <c r="F830" s="10">
        <v>5.42</v>
      </c>
      <c r="G830" s="10">
        <f>F830-2</f>
        <v>3.42</v>
      </c>
      <c r="H830" s="10">
        <v>1.74</v>
      </c>
      <c r="I830" s="8">
        <f t="shared" si="40"/>
        <v>2.37787704</v>
      </c>
      <c r="K830" s="8">
        <f t="shared" si="42"/>
        <v>3.5548699349452444</v>
      </c>
      <c r="L830" s="8">
        <f t="shared" si="41"/>
        <v>1.7774349674726222</v>
      </c>
    </row>
    <row r="831" spans="1:12" x14ac:dyDescent="0.25">
      <c r="A831" s="1">
        <v>830</v>
      </c>
      <c r="B831" s="1">
        <v>722</v>
      </c>
      <c r="C831" s="3" t="s">
        <v>49</v>
      </c>
      <c r="D831" s="5" t="s">
        <v>23</v>
      </c>
      <c r="E831" s="10">
        <v>2.39</v>
      </c>
      <c r="F831" s="10">
        <v>11.54</v>
      </c>
      <c r="G831" s="10">
        <v>8</v>
      </c>
      <c r="H831" s="10">
        <v>1.8</v>
      </c>
      <c r="I831" s="8">
        <f t="shared" si="40"/>
        <v>2.5446960000000001</v>
      </c>
      <c r="K831" s="8">
        <f t="shared" si="42"/>
        <v>20.52990944556926</v>
      </c>
      <c r="L831" s="8">
        <f t="shared" si="41"/>
        <v>10.26495472278463</v>
      </c>
    </row>
    <row r="832" spans="1:12" x14ac:dyDescent="0.25">
      <c r="A832" s="1">
        <v>831</v>
      </c>
      <c r="B832" s="1">
        <v>723</v>
      </c>
      <c r="C832" s="3" t="s">
        <v>49</v>
      </c>
      <c r="D832" s="5" t="s">
        <v>23</v>
      </c>
      <c r="E832" s="10">
        <v>2.04</v>
      </c>
      <c r="F832" s="10">
        <v>7.46</v>
      </c>
      <c r="G832" s="10">
        <f>F832-2</f>
        <v>5.46</v>
      </c>
      <c r="H832" s="10">
        <v>1.74</v>
      </c>
      <c r="I832" s="8">
        <f t="shared" si="40"/>
        <v>2.37787704</v>
      </c>
      <c r="K832" s="8">
        <f t="shared" si="42"/>
        <v>9.3337865251423953</v>
      </c>
      <c r="L832" s="8">
        <f t="shared" si="41"/>
        <v>4.6668932625711976</v>
      </c>
    </row>
    <row r="833" spans="1:12" x14ac:dyDescent="0.25">
      <c r="A833" s="1">
        <v>832</v>
      </c>
      <c r="B833" s="1">
        <v>724</v>
      </c>
      <c r="C833" s="3" t="s">
        <v>49</v>
      </c>
      <c r="D833" s="5" t="s">
        <v>23</v>
      </c>
      <c r="E833" s="10">
        <v>1.75</v>
      </c>
      <c r="F833" s="10">
        <v>5.71</v>
      </c>
      <c r="G833" s="10">
        <v>5.17</v>
      </c>
      <c r="H833" s="10">
        <v>1.85</v>
      </c>
      <c r="I833" s="8">
        <f t="shared" si="40"/>
        <v>2.6880315000000001</v>
      </c>
      <c r="K833" s="8">
        <f t="shared" si="42"/>
        <v>8.3396645329276389</v>
      </c>
      <c r="L833" s="8">
        <f t="shared" si="41"/>
        <v>4.1698322664638194</v>
      </c>
    </row>
    <row r="834" spans="1:12" x14ac:dyDescent="0.25">
      <c r="A834" s="1">
        <v>833</v>
      </c>
      <c r="B834" s="1">
        <v>725</v>
      </c>
      <c r="C834" s="3" t="s">
        <v>49</v>
      </c>
      <c r="D834" s="5" t="s">
        <v>23</v>
      </c>
      <c r="E834" s="10">
        <v>1.1599999999999999</v>
      </c>
      <c r="F834" s="10">
        <v>8.4</v>
      </c>
      <c r="G834" s="10">
        <f>F834-2</f>
        <v>6.4</v>
      </c>
      <c r="H834" s="10">
        <v>1.89</v>
      </c>
      <c r="I834" s="8">
        <f t="shared" si="40"/>
        <v>2.8055273399999998</v>
      </c>
      <c r="K834" s="8">
        <f t="shared" si="42"/>
        <v>12.954278271607722</v>
      </c>
      <c r="L834" s="8">
        <f t="shared" si="41"/>
        <v>6.4771391358038608</v>
      </c>
    </row>
    <row r="835" spans="1:12" x14ac:dyDescent="0.25">
      <c r="A835" s="1">
        <v>834</v>
      </c>
      <c r="B835" s="1">
        <v>726</v>
      </c>
      <c r="C835" s="3" t="s">
        <v>49</v>
      </c>
      <c r="D835" s="5" t="s">
        <v>23</v>
      </c>
      <c r="E835" s="10">
        <v>1.56</v>
      </c>
      <c r="F835" s="10">
        <v>6.8</v>
      </c>
      <c r="G835" s="10">
        <f>F835-2</f>
        <v>4.8</v>
      </c>
      <c r="H835" s="10">
        <v>1.91</v>
      </c>
      <c r="I835" s="8">
        <f t="shared" ref="I835:I898" si="43">0.7854*H835^2</f>
        <v>2.8652177399999998</v>
      </c>
      <c r="K835" s="8">
        <f t="shared" si="42"/>
        <v>7.1548764523700212</v>
      </c>
      <c r="L835" s="8">
        <f t="shared" ref="L835:L898" si="44">K835*0.5</f>
        <v>3.5774382261850106</v>
      </c>
    </row>
    <row r="836" spans="1:12" x14ac:dyDescent="0.25">
      <c r="A836" s="1">
        <v>835</v>
      </c>
      <c r="B836" s="1">
        <v>727</v>
      </c>
      <c r="C836" s="3" t="s">
        <v>49</v>
      </c>
      <c r="D836" s="5" t="s">
        <v>23</v>
      </c>
      <c r="E836" s="10">
        <v>1.98</v>
      </c>
      <c r="F836" s="10">
        <v>6.99</v>
      </c>
      <c r="G836" s="10">
        <f>F836-2</f>
        <v>4.99</v>
      </c>
      <c r="H836" s="10">
        <v>1.9</v>
      </c>
      <c r="I836" s="8">
        <f t="shared" si="43"/>
        <v>2.8352939999999998</v>
      </c>
      <c r="K836" s="8">
        <f t="shared" si="42"/>
        <v>7.7515994190736004</v>
      </c>
      <c r="L836" s="8">
        <f t="shared" si="44"/>
        <v>3.8757997095368002</v>
      </c>
    </row>
    <row r="837" spans="1:12" x14ac:dyDescent="0.25">
      <c r="A837" s="1">
        <v>836</v>
      </c>
      <c r="B837" s="1">
        <v>728</v>
      </c>
      <c r="C837" s="3" t="s">
        <v>49</v>
      </c>
      <c r="D837" s="5" t="s">
        <v>23</v>
      </c>
      <c r="E837" s="10">
        <v>1.85</v>
      </c>
      <c r="F837" s="10">
        <v>7.15</v>
      </c>
      <c r="G837" s="10">
        <v>3.01</v>
      </c>
      <c r="H837" s="10">
        <v>1.84</v>
      </c>
      <c r="I837" s="8">
        <f t="shared" si="43"/>
        <v>2.65905024</v>
      </c>
      <c r="K837" s="8">
        <f t="shared" si="42"/>
        <v>2.7313843032111116</v>
      </c>
      <c r="L837" s="8">
        <f t="shared" si="44"/>
        <v>1.3656921516055558</v>
      </c>
    </row>
    <row r="838" spans="1:12" x14ac:dyDescent="0.25">
      <c r="A838" s="1">
        <v>837</v>
      </c>
      <c r="B838" s="1">
        <v>729</v>
      </c>
      <c r="C838" s="3" t="s">
        <v>49</v>
      </c>
      <c r="D838" s="5" t="s">
        <v>23</v>
      </c>
      <c r="E838" s="10">
        <v>2.2400000000000002</v>
      </c>
      <c r="F838" s="10">
        <v>10.62</v>
      </c>
      <c r="G838" s="10">
        <v>7.45</v>
      </c>
      <c r="H838" s="10">
        <v>1.79</v>
      </c>
      <c r="I838" s="8">
        <f t="shared" si="43"/>
        <v>2.5165001399999998</v>
      </c>
      <c r="K838" s="8">
        <f t="shared" si="42"/>
        <v>17.723737712137488</v>
      </c>
      <c r="L838" s="8">
        <f t="shared" si="44"/>
        <v>8.8618688560687442</v>
      </c>
    </row>
    <row r="839" spans="1:12" x14ac:dyDescent="0.25">
      <c r="A839" s="1">
        <v>838</v>
      </c>
      <c r="B839" s="1">
        <v>730</v>
      </c>
      <c r="C839" s="3" t="s">
        <v>49</v>
      </c>
      <c r="D839" s="5" t="s">
        <v>23</v>
      </c>
      <c r="E839" s="10">
        <v>1.64</v>
      </c>
      <c r="F839" s="10">
        <v>8.77</v>
      </c>
      <c r="G839" s="10">
        <v>3.36</v>
      </c>
      <c r="H839" s="10">
        <v>1.97</v>
      </c>
      <c r="I839" s="8">
        <f t="shared" si="43"/>
        <v>3.0480588599999998</v>
      </c>
      <c r="K839" s="8">
        <f t="shared" si="42"/>
        <v>3.4273775248412366</v>
      </c>
      <c r="L839" s="8">
        <f t="shared" si="44"/>
        <v>1.7136887624206183</v>
      </c>
    </row>
    <row r="840" spans="1:12" x14ac:dyDescent="0.25">
      <c r="A840" s="1">
        <v>839</v>
      </c>
      <c r="B840" s="1">
        <v>731</v>
      </c>
      <c r="C840" s="3" t="s">
        <v>49</v>
      </c>
      <c r="D840" s="5" t="s">
        <v>23</v>
      </c>
      <c r="E840" s="10">
        <v>2.33</v>
      </c>
      <c r="F840" s="10">
        <v>7.18</v>
      </c>
      <c r="G840" s="10">
        <v>4.8</v>
      </c>
      <c r="H840" s="10">
        <v>2</v>
      </c>
      <c r="I840" s="8">
        <f t="shared" si="43"/>
        <v>3.1415999999999999</v>
      </c>
      <c r="K840" s="8">
        <f t="shared" si="42"/>
        <v>7.1548764523700212</v>
      </c>
      <c r="L840" s="8">
        <f t="shared" si="44"/>
        <v>3.5774382261850106</v>
      </c>
    </row>
    <row r="841" spans="1:12" x14ac:dyDescent="0.25">
      <c r="A841" s="1">
        <v>840</v>
      </c>
      <c r="B841" s="1">
        <v>732</v>
      </c>
      <c r="C841" s="3" t="s">
        <v>49</v>
      </c>
      <c r="D841" s="5" t="s">
        <v>23</v>
      </c>
      <c r="E841" s="10">
        <v>1.94</v>
      </c>
      <c r="F841" s="10">
        <v>9.27</v>
      </c>
      <c r="G841" s="10">
        <v>3.42</v>
      </c>
      <c r="H841" s="10">
        <v>2.09</v>
      </c>
      <c r="I841" s="8">
        <f t="shared" si="43"/>
        <v>3.4307057399999992</v>
      </c>
      <c r="K841" s="8">
        <f t="shared" si="42"/>
        <v>3.5548699349452444</v>
      </c>
      <c r="L841" s="8">
        <f t="shared" si="44"/>
        <v>1.7774349674726222</v>
      </c>
    </row>
    <row r="842" spans="1:12" x14ac:dyDescent="0.25">
      <c r="A842" s="1">
        <v>841</v>
      </c>
      <c r="B842" s="1">
        <v>733</v>
      </c>
      <c r="C842" s="3" t="s">
        <v>49</v>
      </c>
      <c r="D842" s="5" t="s">
        <v>23</v>
      </c>
      <c r="E842" s="10">
        <v>1.95</v>
      </c>
      <c r="F842" s="10">
        <v>10.01</v>
      </c>
      <c r="G842" s="10">
        <v>7.23</v>
      </c>
      <c r="H842" s="10">
        <v>1.74</v>
      </c>
      <c r="I842" s="8">
        <f t="shared" si="43"/>
        <v>2.37787704</v>
      </c>
      <c r="K842" s="8">
        <f t="shared" si="42"/>
        <v>16.660679963950781</v>
      </c>
      <c r="L842" s="8">
        <f t="shared" si="44"/>
        <v>8.3303399819753903</v>
      </c>
    </row>
    <row r="843" spans="1:12" x14ac:dyDescent="0.25">
      <c r="A843" s="1">
        <v>842</v>
      </c>
      <c r="B843" s="1">
        <v>734</v>
      </c>
      <c r="C843" s="3" t="s">
        <v>49</v>
      </c>
      <c r="D843" s="5" t="s">
        <v>23</v>
      </c>
      <c r="E843" s="10">
        <v>2.08</v>
      </c>
      <c r="F843" s="10">
        <v>6.91</v>
      </c>
      <c r="G843" s="10">
        <f>F843-2</f>
        <v>4.91</v>
      </c>
      <c r="H843" s="10">
        <v>2.0099999999999998</v>
      </c>
      <c r="I843" s="8">
        <f t="shared" si="43"/>
        <v>3.1730945399999992</v>
      </c>
      <c r="K843" s="8">
        <f t="shared" si="42"/>
        <v>7.4973451497852759</v>
      </c>
      <c r="L843" s="8">
        <f t="shared" si="44"/>
        <v>3.7486725748926379</v>
      </c>
    </row>
    <row r="844" spans="1:12" x14ac:dyDescent="0.25">
      <c r="A844" s="1">
        <v>843</v>
      </c>
      <c r="B844" s="1">
        <v>735</v>
      </c>
      <c r="C844" s="3" t="s">
        <v>49</v>
      </c>
      <c r="D844" s="5" t="s">
        <v>23</v>
      </c>
      <c r="E844" s="10">
        <v>2.2599999999999998</v>
      </c>
      <c r="F844" s="10">
        <v>7.89</v>
      </c>
      <c r="G844" s="10">
        <v>3.8</v>
      </c>
      <c r="H844" s="10">
        <v>2.0699999999999998</v>
      </c>
      <c r="I844" s="8">
        <f t="shared" si="43"/>
        <v>3.3653604599999993</v>
      </c>
      <c r="K844" s="8">
        <f t="shared" si="42"/>
        <v>4.4181890729503657</v>
      </c>
      <c r="L844" s="8">
        <f t="shared" si="44"/>
        <v>2.2090945364751828</v>
      </c>
    </row>
    <row r="845" spans="1:12" x14ac:dyDescent="0.25">
      <c r="A845" s="1">
        <v>844</v>
      </c>
      <c r="B845" s="1">
        <v>736</v>
      </c>
      <c r="C845" s="3" t="s">
        <v>49</v>
      </c>
      <c r="D845" s="5" t="s">
        <v>23</v>
      </c>
      <c r="E845" s="10">
        <v>1.97</v>
      </c>
      <c r="F845" s="10">
        <v>5.85</v>
      </c>
      <c r="G845" s="10">
        <f>F845-2</f>
        <v>3.8499999999999996</v>
      </c>
      <c r="H845" s="10">
        <v>1.68</v>
      </c>
      <c r="I845" s="8">
        <f t="shared" si="43"/>
        <v>2.2167129599999997</v>
      </c>
      <c r="K845" s="8">
        <f t="shared" si="42"/>
        <v>4.5389882756530318</v>
      </c>
      <c r="L845" s="8">
        <f t="shared" si="44"/>
        <v>2.2694941378265159</v>
      </c>
    </row>
    <row r="846" spans="1:12" x14ac:dyDescent="0.25">
      <c r="A846" s="1">
        <v>845</v>
      </c>
      <c r="B846" s="1">
        <v>737</v>
      </c>
      <c r="C846" s="3" t="s">
        <v>49</v>
      </c>
      <c r="D846" s="5" t="s">
        <v>23</v>
      </c>
      <c r="E846" s="10">
        <v>2.2200000000000002</v>
      </c>
      <c r="F846" s="10">
        <v>6.27</v>
      </c>
      <c r="G846" s="10">
        <f>F846-2</f>
        <v>4.2699999999999996</v>
      </c>
      <c r="H846" s="10">
        <v>1.7</v>
      </c>
      <c r="I846" s="8">
        <f t="shared" si="43"/>
        <v>2.2698059999999995</v>
      </c>
      <c r="K846" s="8">
        <f t="shared" si="42"/>
        <v>5.6201611138593677</v>
      </c>
      <c r="L846" s="8">
        <f t="shared" si="44"/>
        <v>2.8100805569296838</v>
      </c>
    </row>
    <row r="847" spans="1:12" x14ac:dyDescent="0.25">
      <c r="A847" s="1">
        <v>846</v>
      </c>
      <c r="B847" s="1">
        <v>738</v>
      </c>
      <c r="C847" s="3" t="s">
        <v>49</v>
      </c>
      <c r="D847" s="5" t="s">
        <v>23</v>
      </c>
      <c r="E847" s="10">
        <v>1.93</v>
      </c>
      <c r="F847" s="10">
        <v>9.77</v>
      </c>
      <c r="G847" s="10">
        <v>5.58</v>
      </c>
      <c r="H847" s="10">
        <v>1.7</v>
      </c>
      <c r="I847" s="8">
        <f t="shared" si="43"/>
        <v>2.2698059999999995</v>
      </c>
      <c r="K847" s="8">
        <f t="shared" si="42"/>
        <v>9.7620384775142846</v>
      </c>
      <c r="L847" s="8">
        <f t="shared" si="44"/>
        <v>4.8810192387571423</v>
      </c>
    </row>
    <row r="848" spans="1:12" x14ac:dyDescent="0.25">
      <c r="A848" s="1">
        <v>847</v>
      </c>
      <c r="B848" s="1">
        <v>739</v>
      </c>
      <c r="C848" s="3" t="s">
        <v>49</v>
      </c>
      <c r="D848" s="5" t="s">
        <v>23</v>
      </c>
      <c r="E848" s="10">
        <v>1.56</v>
      </c>
      <c r="F848" s="10">
        <v>6.27</v>
      </c>
      <c r="G848" s="10">
        <v>3.85</v>
      </c>
      <c r="H848" s="10">
        <v>1.99</v>
      </c>
      <c r="I848" s="8">
        <f t="shared" si="43"/>
        <v>3.1102625399999999</v>
      </c>
      <c r="K848" s="8">
        <f t="shared" si="42"/>
        <v>4.5389882756530318</v>
      </c>
      <c r="L848" s="8">
        <f t="shared" si="44"/>
        <v>2.2694941378265159</v>
      </c>
    </row>
    <row r="849" spans="1:12" x14ac:dyDescent="0.25">
      <c r="A849" s="1">
        <v>848</v>
      </c>
      <c r="B849" s="1">
        <v>740</v>
      </c>
      <c r="C849" s="3" t="s">
        <v>49</v>
      </c>
      <c r="D849" s="5" t="s">
        <v>23</v>
      </c>
      <c r="E849" s="10">
        <v>1.71</v>
      </c>
      <c r="F849" s="10">
        <v>8.68</v>
      </c>
      <c r="G849" s="10">
        <v>5.93</v>
      </c>
      <c r="H849" s="10">
        <v>1.83</v>
      </c>
      <c r="I849" s="8">
        <f t="shared" si="43"/>
        <v>2.6302260600000005</v>
      </c>
      <c r="K849" s="8">
        <f t="shared" si="42"/>
        <v>11.067746551800935</v>
      </c>
      <c r="L849" s="8">
        <f t="shared" si="44"/>
        <v>5.5338732759004676</v>
      </c>
    </row>
    <row r="850" spans="1:12" x14ac:dyDescent="0.25">
      <c r="A850" s="1">
        <v>849</v>
      </c>
      <c r="B850" s="1">
        <v>741</v>
      </c>
      <c r="C850" s="3" t="s">
        <v>49</v>
      </c>
      <c r="D850" s="5" t="s">
        <v>23</v>
      </c>
      <c r="E850" s="10">
        <v>1.37</v>
      </c>
      <c r="F850" s="10">
        <v>9.9600000000000009</v>
      </c>
      <c r="G850" s="10">
        <v>8.26</v>
      </c>
      <c r="H850" s="10">
        <v>2.0099999999999998</v>
      </c>
      <c r="I850" s="8">
        <f t="shared" si="43"/>
        <v>3.1730945399999992</v>
      </c>
      <c r="K850" s="8">
        <f t="shared" si="42"/>
        <v>21.930532310601713</v>
      </c>
      <c r="L850" s="8">
        <f t="shared" si="44"/>
        <v>10.965266155300856</v>
      </c>
    </row>
    <row r="851" spans="1:12" x14ac:dyDescent="0.25">
      <c r="A851" s="1">
        <v>850</v>
      </c>
      <c r="B851" s="1">
        <v>742</v>
      </c>
      <c r="C851" s="3" t="s">
        <v>49</v>
      </c>
      <c r="D851" s="5" t="s">
        <v>23</v>
      </c>
      <c r="E851" s="10">
        <v>1.51</v>
      </c>
      <c r="F851" s="10">
        <v>5.75</v>
      </c>
      <c r="G851" s="10">
        <v>3.5</v>
      </c>
      <c r="H851" s="10">
        <v>1.98</v>
      </c>
      <c r="I851" s="8">
        <f t="shared" si="43"/>
        <v>3.07908216</v>
      </c>
      <c r="K851" s="8">
        <f t="shared" si="42"/>
        <v>3.7285953628971171</v>
      </c>
      <c r="L851" s="8">
        <f t="shared" si="44"/>
        <v>1.8642976814485586</v>
      </c>
    </row>
    <row r="852" spans="1:12" x14ac:dyDescent="0.25">
      <c r="A852" s="1">
        <v>851</v>
      </c>
      <c r="B852" s="1">
        <v>743</v>
      </c>
      <c r="C852" s="3" t="s">
        <v>49</v>
      </c>
      <c r="D852" s="5" t="s">
        <v>23</v>
      </c>
      <c r="E852" s="10">
        <v>2.2799999999999998</v>
      </c>
      <c r="F852" s="10">
        <v>8.9700000000000006</v>
      </c>
      <c r="G852" s="10">
        <v>3.56</v>
      </c>
      <c r="H852" s="10">
        <v>1.73</v>
      </c>
      <c r="I852" s="8">
        <f t="shared" si="43"/>
        <v>2.3506236600000001</v>
      </c>
      <c r="K852" s="8">
        <f t="shared" si="42"/>
        <v>3.8616945249882639</v>
      </c>
      <c r="L852" s="8">
        <f t="shared" si="44"/>
        <v>1.930847262494132</v>
      </c>
    </row>
    <row r="853" spans="1:12" x14ac:dyDescent="0.25">
      <c r="A853" s="1">
        <v>852</v>
      </c>
      <c r="B853" s="1">
        <v>744</v>
      </c>
      <c r="C853" s="3" t="s">
        <v>49</v>
      </c>
      <c r="D853" s="5" t="s">
        <v>23</v>
      </c>
      <c r="E853" s="10">
        <v>1.36</v>
      </c>
      <c r="F853" s="10">
        <v>6.8</v>
      </c>
      <c r="G853" s="10">
        <v>5.48</v>
      </c>
      <c r="H853" s="10">
        <v>2.09</v>
      </c>
      <c r="I853" s="8">
        <f t="shared" si="43"/>
        <v>3.4307057399999992</v>
      </c>
      <c r="K853" s="8">
        <f t="shared" si="42"/>
        <v>9.4044743881245711</v>
      </c>
      <c r="L853" s="8">
        <f t="shared" si="44"/>
        <v>4.7022371940622856</v>
      </c>
    </row>
    <row r="854" spans="1:12" x14ac:dyDescent="0.25">
      <c r="A854" s="1">
        <v>853</v>
      </c>
      <c r="B854" s="1">
        <v>745</v>
      </c>
      <c r="C854" s="3" t="s">
        <v>49</v>
      </c>
      <c r="D854" s="5" t="s">
        <v>23</v>
      </c>
      <c r="E854" s="10">
        <v>1.22</v>
      </c>
      <c r="F854" s="10">
        <v>11.74</v>
      </c>
      <c r="G854" s="10">
        <v>9.59</v>
      </c>
      <c r="H854" s="10">
        <v>1.81</v>
      </c>
      <c r="I854" s="8">
        <f t="shared" si="43"/>
        <v>2.5730489400000001</v>
      </c>
      <c r="K854" s="8">
        <f t="shared" si="42"/>
        <v>29.843073016680833</v>
      </c>
      <c r="L854" s="8">
        <f t="shared" si="44"/>
        <v>14.921536508340417</v>
      </c>
    </row>
    <row r="855" spans="1:12" x14ac:dyDescent="0.25">
      <c r="A855" s="1">
        <v>854</v>
      </c>
      <c r="B855" s="1">
        <v>746</v>
      </c>
      <c r="C855" s="3" t="s">
        <v>49</v>
      </c>
      <c r="D855" s="5" t="s">
        <v>23</v>
      </c>
      <c r="E855" s="10">
        <v>2.2200000000000002</v>
      </c>
      <c r="F855" s="10">
        <v>8.3800000000000008</v>
      </c>
      <c r="G855" s="10">
        <v>7.68</v>
      </c>
      <c r="H855" s="10">
        <v>2.04</v>
      </c>
      <c r="I855" s="8">
        <f t="shared" si="43"/>
        <v>3.2685206399999998</v>
      </c>
      <c r="K855" s="8">
        <f t="shared" si="42"/>
        <v>18.871382752055279</v>
      </c>
      <c r="L855" s="8">
        <f t="shared" si="44"/>
        <v>9.4356913760276395</v>
      </c>
    </row>
    <row r="856" spans="1:12" x14ac:dyDescent="0.25">
      <c r="A856" s="1">
        <v>855</v>
      </c>
      <c r="B856" s="1">
        <v>747</v>
      </c>
      <c r="C856" s="3" t="s">
        <v>49</v>
      </c>
      <c r="D856" s="5" t="s">
        <v>23</v>
      </c>
      <c r="E856" s="10">
        <v>2.39</v>
      </c>
      <c r="F856" s="10">
        <v>10.64</v>
      </c>
      <c r="G856" s="10">
        <v>7.75</v>
      </c>
      <c r="H856" s="10">
        <v>2.06</v>
      </c>
      <c r="I856" s="8">
        <f t="shared" si="43"/>
        <v>3.3329234399999996</v>
      </c>
      <c r="K856" s="8">
        <f t="shared" si="42"/>
        <v>19.228035210015872</v>
      </c>
      <c r="L856" s="8">
        <f t="shared" si="44"/>
        <v>9.6140176050079358</v>
      </c>
    </row>
    <row r="857" spans="1:12" x14ac:dyDescent="0.25">
      <c r="A857" s="1">
        <v>856</v>
      </c>
      <c r="B857" s="1">
        <v>748</v>
      </c>
      <c r="C857" s="3" t="s">
        <v>49</v>
      </c>
      <c r="D857" s="5" t="s">
        <v>23</v>
      </c>
      <c r="E857" s="10">
        <v>1.22</v>
      </c>
      <c r="F857" s="10">
        <v>8.85</v>
      </c>
      <c r="G857" s="10">
        <v>5.53</v>
      </c>
      <c r="H857" s="10">
        <v>1.83</v>
      </c>
      <c r="I857" s="8">
        <f t="shared" si="43"/>
        <v>2.6302260600000005</v>
      </c>
      <c r="K857" s="8">
        <f t="shared" si="42"/>
        <v>9.5823968738114988</v>
      </c>
      <c r="L857" s="8">
        <f t="shared" si="44"/>
        <v>4.7911984369057494</v>
      </c>
    </row>
    <row r="858" spans="1:12" x14ac:dyDescent="0.25">
      <c r="A858" s="1">
        <v>857</v>
      </c>
      <c r="B858" s="1">
        <v>749</v>
      </c>
      <c r="C858" s="3" t="s">
        <v>49</v>
      </c>
      <c r="D858" s="5" t="s">
        <v>23</v>
      </c>
      <c r="E858" s="10">
        <v>2.1</v>
      </c>
      <c r="F858" s="10">
        <v>5.3</v>
      </c>
      <c r="G858" s="10">
        <f>F858-2</f>
        <v>3.3</v>
      </c>
      <c r="H858" s="10">
        <v>1.82</v>
      </c>
      <c r="I858" s="8">
        <f t="shared" si="43"/>
        <v>2.6015589600000002</v>
      </c>
      <c r="K858" s="8">
        <f t="shared" si="42"/>
        <v>3.3022835454211199</v>
      </c>
      <c r="L858" s="8">
        <f t="shared" si="44"/>
        <v>1.65114177271056</v>
      </c>
    </row>
    <row r="859" spans="1:12" x14ac:dyDescent="0.25">
      <c r="A859" s="1">
        <v>858</v>
      </c>
      <c r="B859" s="1">
        <v>750</v>
      </c>
      <c r="C859" s="3" t="s">
        <v>49</v>
      </c>
      <c r="D859" s="5" t="s">
        <v>23</v>
      </c>
      <c r="E859" s="10">
        <v>2.39</v>
      </c>
      <c r="F859" s="10">
        <v>9.43</v>
      </c>
      <c r="G859" s="10">
        <v>3.07</v>
      </c>
      <c r="H859" s="10">
        <v>2.09</v>
      </c>
      <c r="I859" s="8">
        <f t="shared" si="43"/>
        <v>3.4307057399999992</v>
      </c>
      <c r="K859" s="8">
        <f t="shared" si="42"/>
        <v>2.844925404258063</v>
      </c>
      <c r="L859" s="8">
        <f t="shared" si="44"/>
        <v>1.4224627021290315</v>
      </c>
    </row>
    <row r="860" spans="1:12" x14ac:dyDescent="0.25">
      <c r="A860" s="1">
        <v>859</v>
      </c>
      <c r="B860" s="1">
        <v>751</v>
      </c>
      <c r="C860" s="3" t="s">
        <v>49</v>
      </c>
      <c r="D860" s="5" t="s">
        <v>23</v>
      </c>
      <c r="E860" s="10">
        <v>2.23</v>
      </c>
      <c r="F860" s="10">
        <v>11.66</v>
      </c>
      <c r="G860" s="10">
        <v>7.45</v>
      </c>
      <c r="H860" s="10">
        <v>1.92</v>
      </c>
      <c r="I860" s="8">
        <f t="shared" si="43"/>
        <v>2.8952985600000001</v>
      </c>
      <c r="K860" s="8">
        <f t="shared" si="42"/>
        <v>17.723737712137488</v>
      </c>
      <c r="L860" s="8">
        <f t="shared" si="44"/>
        <v>8.8618688560687442</v>
      </c>
    </row>
    <row r="861" spans="1:12" x14ac:dyDescent="0.25">
      <c r="A861" s="1">
        <v>860</v>
      </c>
      <c r="B861" s="1">
        <v>752</v>
      </c>
      <c r="C861" s="3" t="s">
        <v>49</v>
      </c>
      <c r="D861" s="5" t="s">
        <v>23</v>
      </c>
      <c r="E861" s="10">
        <v>1.52</v>
      </c>
      <c r="F861" s="10">
        <v>9.2100000000000009</v>
      </c>
      <c r="G861" s="10">
        <f>F861-2</f>
        <v>7.2100000000000009</v>
      </c>
      <c r="H861" s="10">
        <v>1.7</v>
      </c>
      <c r="I861" s="8">
        <f t="shared" si="43"/>
        <v>2.2698059999999995</v>
      </c>
      <c r="K861" s="8">
        <f t="shared" si="42"/>
        <v>16.565718011895054</v>
      </c>
      <c r="L861" s="8">
        <f t="shared" si="44"/>
        <v>8.2828590059475271</v>
      </c>
    </row>
    <row r="862" spans="1:12" x14ac:dyDescent="0.25">
      <c r="A862" s="1">
        <v>861</v>
      </c>
      <c r="B862" s="1">
        <v>753</v>
      </c>
      <c r="C862" s="3" t="s">
        <v>49</v>
      </c>
      <c r="D862" s="5" t="s">
        <v>23</v>
      </c>
      <c r="E862" s="10">
        <v>1.98</v>
      </c>
      <c r="F862" s="10">
        <v>10.73</v>
      </c>
      <c r="G862" s="10">
        <v>7.29</v>
      </c>
      <c r="H862" s="10">
        <v>1.94</v>
      </c>
      <c r="I862" s="8">
        <f t="shared" si="43"/>
        <v>2.9559314399999996</v>
      </c>
      <c r="K862" s="8">
        <f t="shared" si="42"/>
        <v>16.947244701746037</v>
      </c>
      <c r="L862" s="8">
        <f t="shared" si="44"/>
        <v>8.4736223508730184</v>
      </c>
    </row>
    <row r="863" spans="1:12" x14ac:dyDescent="0.25">
      <c r="A863" s="1">
        <v>862</v>
      </c>
      <c r="B863" s="1">
        <v>754</v>
      </c>
      <c r="C863" s="3" t="s">
        <v>49</v>
      </c>
      <c r="D863" s="5" t="s">
        <v>23</v>
      </c>
      <c r="E863" s="10">
        <v>2.0499999999999998</v>
      </c>
      <c r="F863" s="10">
        <v>11.19</v>
      </c>
      <c r="G863" s="10">
        <v>9.1199999999999992</v>
      </c>
      <c r="H863" s="10">
        <v>1.85</v>
      </c>
      <c r="I863" s="8">
        <f t="shared" si="43"/>
        <v>2.6880315000000001</v>
      </c>
      <c r="K863" s="8">
        <f t="shared" si="42"/>
        <v>26.903587436358865</v>
      </c>
      <c r="L863" s="8">
        <f t="shared" si="44"/>
        <v>13.451793718179433</v>
      </c>
    </row>
    <row r="864" spans="1:12" x14ac:dyDescent="0.25">
      <c r="A864" s="1">
        <v>863</v>
      </c>
      <c r="B864" s="1">
        <v>755</v>
      </c>
      <c r="C864" s="3" t="s">
        <v>49</v>
      </c>
      <c r="D864" s="5" t="s">
        <v>23</v>
      </c>
      <c r="E864" s="10">
        <v>1.49</v>
      </c>
      <c r="F864" s="10">
        <v>6.6</v>
      </c>
      <c r="G864" s="10">
        <f>F864-2</f>
        <v>4.5999999999999996</v>
      </c>
      <c r="H864" s="10">
        <v>2.04</v>
      </c>
      <c r="I864" s="8">
        <f t="shared" si="43"/>
        <v>3.2685206399999998</v>
      </c>
      <c r="K864" s="8">
        <f t="shared" si="42"/>
        <v>6.5533238647006211</v>
      </c>
      <c r="L864" s="8">
        <f t="shared" si="44"/>
        <v>3.2766619323503106</v>
      </c>
    </row>
    <row r="865" spans="1:12" x14ac:dyDescent="0.25">
      <c r="A865" s="1">
        <v>864</v>
      </c>
      <c r="B865" s="1">
        <v>756</v>
      </c>
      <c r="C865" s="3" t="s">
        <v>49</v>
      </c>
      <c r="D865" s="5" t="s">
        <v>23</v>
      </c>
      <c r="E865" s="10">
        <v>1.25</v>
      </c>
      <c r="F865" s="10">
        <v>6.48</v>
      </c>
      <c r="G865" s="10">
        <v>3.84</v>
      </c>
      <c r="H865" s="10">
        <v>1.76</v>
      </c>
      <c r="I865" s="8">
        <f t="shared" si="43"/>
        <v>2.4328550399999997</v>
      </c>
      <c r="K865" s="8">
        <f t="shared" si="42"/>
        <v>4.514694076401689</v>
      </c>
      <c r="L865" s="8">
        <f t="shared" si="44"/>
        <v>2.2573470382008445</v>
      </c>
    </row>
    <row r="866" spans="1:12" x14ac:dyDescent="0.25">
      <c r="A866" s="1">
        <v>865</v>
      </c>
      <c r="B866" s="1">
        <v>757</v>
      </c>
      <c r="C866" s="3" t="s">
        <v>49</v>
      </c>
      <c r="D866" s="5" t="s">
        <v>23</v>
      </c>
      <c r="E866" s="10">
        <v>2.02</v>
      </c>
      <c r="F866" s="10">
        <v>9.2799999999999994</v>
      </c>
      <c r="G866" s="10">
        <f>F866-2</f>
        <v>7.2799999999999994</v>
      </c>
      <c r="H866" s="10">
        <v>1.7</v>
      </c>
      <c r="I866" s="8">
        <f t="shared" si="43"/>
        <v>2.2698059999999995</v>
      </c>
      <c r="K866" s="8">
        <f t="shared" si="42"/>
        <v>16.899308992879313</v>
      </c>
      <c r="L866" s="8">
        <f t="shared" si="44"/>
        <v>8.4496544964396563</v>
      </c>
    </row>
    <row r="867" spans="1:12" x14ac:dyDescent="0.25">
      <c r="A867" s="1">
        <v>866</v>
      </c>
      <c r="B867" s="1">
        <v>758</v>
      </c>
      <c r="C867" s="3" t="s">
        <v>49</v>
      </c>
      <c r="D867" s="5" t="s">
        <v>23</v>
      </c>
      <c r="E867" s="10">
        <v>1.84</v>
      </c>
      <c r="F867" s="10">
        <v>7.88</v>
      </c>
      <c r="G867" s="10">
        <v>3.47</v>
      </c>
      <c r="H867" s="10">
        <v>2.0299999999999998</v>
      </c>
      <c r="I867" s="8">
        <f t="shared" si="43"/>
        <v>3.2365548599999991</v>
      </c>
      <c r="K867" s="8">
        <f t="shared" si="42"/>
        <v>3.6629476918821671</v>
      </c>
      <c r="L867" s="8">
        <f t="shared" si="44"/>
        <v>1.8314738459410835</v>
      </c>
    </row>
    <row r="868" spans="1:12" x14ac:dyDescent="0.25">
      <c r="A868" s="1">
        <v>867</v>
      </c>
      <c r="B868" s="1">
        <v>759</v>
      </c>
      <c r="C868" s="3" t="s">
        <v>49</v>
      </c>
      <c r="D868" s="5" t="s">
        <v>23</v>
      </c>
      <c r="E868" s="10">
        <v>1.31</v>
      </c>
      <c r="F868" s="10">
        <v>10.88</v>
      </c>
      <c r="G868" s="10">
        <v>6.74</v>
      </c>
      <c r="H868" s="10">
        <v>1.96</v>
      </c>
      <c r="I868" s="8">
        <f t="shared" si="43"/>
        <v>3.0171926399999998</v>
      </c>
      <c r="K868" s="8">
        <f t="shared" si="42"/>
        <v>14.414531850509796</v>
      </c>
      <c r="L868" s="8">
        <f t="shared" si="44"/>
        <v>7.2072659252548981</v>
      </c>
    </row>
    <row r="869" spans="1:12" x14ac:dyDescent="0.25">
      <c r="A869" s="1">
        <v>868</v>
      </c>
      <c r="B869" s="1">
        <v>760</v>
      </c>
      <c r="C869" s="3" t="s">
        <v>49</v>
      </c>
      <c r="D869" s="5" t="s">
        <v>23</v>
      </c>
      <c r="E869" s="10">
        <v>1.78</v>
      </c>
      <c r="F869" s="10">
        <v>11.3</v>
      </c>
      <c r="G869" s="10">
        <v>3.99</v>
      </c>
      <c r="H869" s="10">
        <v>1.97</v>
      </c>
      <c r="I869" s="8">
        <f t="shared" si="43"/>
        <v>3.0480588599999998</v>
      </c>
      <c r="K869" s="8">
        <f t="shared" si="42"/>
        <v>4.8861682330583314</v>
      </c>
      <c r="L869" s="8">
        <f t="shared" si="44"/>
        <v>2.4430841165291657</v>
      </c>
    </row>
    <row r="870" spans="1:12" x14ac:dyDescent="0.25">
      <c r="A870" s="1">
        <v>869</v>
      </c>
      <c r="B870" s="1">
        <v>761</v>
      </c>
      <c r="C870" s="3" t="s">
        <v>49</v>
      </c>
      <c r="D870" s="5" t="s">
        <v>23</v>
      </c>
      <c r="E870" s="10">
        <v>1.83</v>
      </c>
      <c r="F870" s="10">
        <v>7.47</v>
      </c>
      <c r="G870" s="10">
        <v>3.08</v>
      </c>
      <c r="H870" s="10">
        <v>1.97</v>
      </c>
      <c r="I870" s="8">
        <f t="shared" si="43"/>
        <v>3.0480588599999998</v>
      </c>
      <c r="K870" s="8">
        <f t="shared" si="42"/>
        <v>2.8640806892143513</v>
      </c>
      <c r="L870" s="8">
        <f t="shared" si="44"/>
        <v>1.4320403446071757</v>
      </c>
    </row>
    <row r="871" spans="1:12" x14ac:dyDescent="0.25">
      <c r="A871" s="1">
        <v>870</v>
      </c>
      <c r="B871" s="1">
        <v>762</v>
      </c>
      <c r="C871" s="3" t="s">
        <v>49</v>
      </c>
      <c r="D871" s="5" t="s">
        <v>23</v>
      </c>
      <c r="E871" s="10">
        <v>1.77</v>
      </c>
      <c r="F871" s="10">
        <v>6.66</v>
      </c>
      <c r="G871" s="10">
        <v>5.95</v>
      </c>
      <c r="H871" s="10">
        <v>1.9</v>
      </c>
      <c r="I871" s="8">
        <f t="shared" si="43"/>
        <v>2.8352939999999998</v>
      </c>
      <c r="K871" s="8">
        <f t="shared" si="42"/>
        <v>11.144910992479065</v>
      </c>
      <c r="L871" s="8">
        <f t="shared" si="44"/>
        <v>5.5724554962395327</v>
      </c>
    </row>
    <row r="872" spans="1:12" x14ac:dyDescent="0.25">
      <c r="A872" s="1">
        <v>871</v>
      </c>
      <c r="B872" s="1">
        <v>763</v>
      </c>
      <c r="C872" s="3" t="s">
        <v>49</v>
      </c>
      <c r="D872" s="5" t="s">
        <v>23</v>
      </c>
      <c r="E872" s="10">
        <v>1.9</v>
      </c>
      <c r="F872" s="10">
        <v>10.46</v>
      </c>
      <c r="G872" s="10">
        <v>5.07</v>
      </c>
      <c r="H872" s="10">
        <v>1.93</v>
      </c>
      <c r="I872" s="8">
        <f t="shared" si="43"/>
        <v>2.92553646</v>
      </c>
      <c r="K872" s="8">
        <f t="shared" si="42"/>
        <v>8.0102260051305816</v>
      </c>
      <c r="L872" s="8">
        <f t="shared" si="44"/>
        <v>4.0051130025652908</v>
      </c>
    </row>
    <row r="873" spans="1:12" x14ac:dyDescent="0.25">
      <c r="A873" s="1">
        <v>872</v>
      </c>
      <c r="B873" s="1">
        <v>764</v>
      </c>
      <c r="C873" s="3" t="s">
        <v>49</v>
      </c>
      <c r="D873" s="5" t="s">
        <v>23</v>
      </c>
      <c r="E873" s="10">
        <v>1.17</v>
      </c>
      <c r="F873" s="10">
        <v>6.92</v>
      </c>
      <c r="G873" s="10">
        <v>6.4</v>
      </c>
      <c r="H873" s="10">
        <v>2.04</v>
      </c>
      <c r="I873" s="8">
        <f t="shared" si="43"/>
        <v>3.2685206399999998</v>
      </c>
      <c r="K873" s="8">
        <f t="shared" si="42"/>
        <v>12.954278271607722</v>
      </c>
      <c r="L873" s="8">
        <f t="shared" si="44"/>
        <v>6.4771391358038608</v>
      </c>
    </row>
    <row r="874" spans="1:12" x14ac:dyDescent="0.25">
      <c r="A874" s="1">
        <v>873</v>
      </c>
      <c r="B874" s="1">
        <v>765</v>
      </c>
      <c r="C874" s="3" t="s">
        <v>49</v>
      </c>
      <c r="D874" s="5" t="s">
        <v>23</v>
      </c>
      <c r="E874" s="10">
        <v>2.04</v>
      </c>
      <c r="F874" s="10">
        <v>10.76</v>
      </c>
      <c r="G874" s="10">
        <v>7.04</v>
      </c>
      <c r="H874" s="10">
        <v>1.88</v>
      </c>
      <c r="I874" s="8">
        <f t="shared" si="43"/>
        <v>2.7759177599999996</v>
      </c>
      <c r="K874" s="8">
        <f t="shared" si="42"/>
        <v>15.769830585394285</v>
      </c>
      <c r="L874" s="8">
        <f t="shared" si="44"/>
        <v>7.8849152926971424</v>
      </c>
    </row>
    <row r="875" spans="1:12" x14ac:dyDescent="0.25">
      <c r="A875" s="1">
        <v>874</v>
      </c>
      <c r="B875" s="1">
        <v>766</v>
      </c>
      <c r="C875" s="3" t="s">
        <v>49</v>
      </c>
      <c r="D875" s="5" t="s">
        <v>23</v>
      </c>
      <c r="E875" s="10">
        <v>1.59</v>
      </c>
      <c r="F875" s="10">
        <v>7.97</v>
      </c>
      <c r="G875" s="10">
        <v>3.31</v>
      </c>
      <c r="H875" s="10">
        <v>1.76</v>
      </c>
      <c r="I875" s="8">
        <f t="shared" si="43"/>
        <v>2.4328550399999997</v>
      </c>
      <c r="K875" s="8">
        <f t="shared" si="42"/>
        <v>3.3229661001299586</v>
      </c>
      <c r="L875" s="8">
        <f t="shared" si="44"/>
        <v>1.6614830500649793</v>
      </c>
    </row>
    <row r="876" spans="1:12" x14ac:dyDescent="0.25">
      <c r="A876" s="1">
        <v>875</v>
      </c>
      <c r="B876" s="1">
        <v>767</v>
      </c>
      <c r="C876" s="3" t="s">
        <v>49</v>
      </c>
      <c r="D876" s="5" t="s">
        <v>23</v>
      </c>
      <c r="E876" s="10">
        <v>1.55</v>
      </c>
      <c r="F876" s="10">
        <v>9.67</v>
      </c>
      <c r="G876" s="10">
        <v>3.86</v>
      </c>
      <c r="H876" s="10">
        <v>1.85</v>
      </c>
      <c r="I876" s="8">
        <f t="shared" si="43"/>
        <v>2.6880315000000001</v>
      </c>
      <c r="K876" s="8">
        <f t="shared" si="42"/>
        <v>4.5633496764953376</v>
      </c>
      <c r="L876" s="8">
        <f t="shared" si="44"/>
        <v>2.2816748382476688</v>
      </c>
    </row>
    <row r="877" spans="1:12" x14ac:dyDescent="0.25">
      <c r="A877" s="1">
        <v>876</v>
      </c>
      <c r="B877" s="1">
        <v>768</v>
      </c>
      <c r="C877" s="3" t="s">
        <v>49</v>
      </c>
      <c r="D877" s="5" t="s">
        <v>23</v>
      </c>
      <c r="E877" s="10">
        <v>1.1299999999999999</v>
      </c>
      <c r="F877" s="10">
        <v>5.67</v>
      </c>
      <c r="G877" s="10">
        <f>F877-2</f>
        <v>3.67</v>
      </c>
      <c r="H877" s="10">
        <v>2.04</v>
      </c>
      <c r="I877" s="8">
        <f t="shared" si="43"/>
        <v>3.2685206399999998</v>
      </c>
      <c r="K877" s="8">
        <f t="shared" si="42"/>
        <v>4.111963672497712</v>
      </c>
      <c r="L877" s="8">
        <f t="shared" si="44"/>
        <v>2.055981836248856</v>
      </c>
    </row>
    <row r="878" spans="1:12" x14ac:dyDescent="0.25">
      <c r="A878" s="1">
        <v>877</v>
      </c>
      <c r="B878" s="1">
        <v>769</v>
      </c>
      <c r="C878" s="3" t="s">
        <v>49</v>
      </c>
      <c r="D878" s="5" t="s">
        <v>23</v>
      </c>
      <c r="E878" s="10">
        <v>2.0499999999999998</v>
      </c>
      <c r="F878" s="10">
        <v>9.3699999999999992</v>
      </c>
      <c r="G878" s="10">
        <v>5.4</v>
      </c>
      <c r="H878" s="10">
        <v>1.79</v>
      </c>
      <c r="I878" s="8">
        <f t="shared" si="43"/>
        <v>2.5165001399999998</v>
      </c>
      <c r="K878" s="8">
        <f t="shared" si="42"/>
        <v>9.1233716992023695</v>
      </c>
      <c r="L878" s="8">
        <f t="shared" si="44"/>
        <v>4.5616858496011847</v>
      </c>
    </row>
    <row r="879" spans="1:12" x14ac:dyDescent="0.25">
      <c r="A879" s="1">
        <v>878</v>
      </c>
      <c r="B879" s="1">
        <v>770</v>
      </c>
      <c r="C879" s="3" t="s">
        <v>49</v>
      </c>
      <c r="D879" s="5" t="s">
        <v>23</v>
      </c>
      <c r="E879" s="10">
        <v>1.96</v>
      </c>
      <c r="F879" s="10">
        <v>8.16</v>
      </c>
      <c r="G879" s="10">
        <f>F879-2</f>
        <v>6.16</v>
      </c>
      <c r="H879" s="10">
        <v>2.04</v>
      </c>
      <c r="I879" s="8">
        <f t="shared" si="43"/>
        <v>3.2685206399999998</v>
      </c>
      <c r="K879" s="8">
        <f t="shared" ref="K879:K907" si="45">0.2811*G879^2.0635</f>
        <v>11.971832864921979</v>
      </c>
      <c r="L879" s="8">
        <f t="shared" si="44"/>
        <v>5.9859164324609893</v>
      </c>
    </row>
    <row r="880" spans="1:12" x14ac:dyDescent="0.25">
      <c r="A880" s="1">
        <v>879</v>
      </c>
      <c r="B880" s="1">
        <v>771</v>
      </c>
      <c r="C880" s="3" t="s">
        <v>49</v>
      </c>
      <c r="D880" s="5" t="s">
        <v>23</v>
      </c>
      <c r="E880" s="10">
        <v>2.15</v>
      </c>
      <c r="F880" s="10">
        <v>9.11</v>
      </c>
      <c r="G880" s="10">
        <v>7.57</v>
      </c>
      <c r="H880" s="10">
        <v>2</v>
      </c>
      <c r="I880" s="8">
        <f t="shared" si="43"/>
        <v>3.1415999999999999</v>
      </c>
      <c r="K880" s="8">
        <f t="shared" si="45"/>
        <v>18.317879296341875</v>
      </c>
      <c r="L880" s="8">
        <f t="shared" si="44"/>
        <v>9.1589396481709375</v>
      </c>
    </row>
    <row r="881" spans="1:12" x14ac:dyDescent="0.25">
      <c r="A881" s="1">
        <v>880</v>
      </c>
      <c r="B881" s="1">
        <v>772</v>
      </c>
      <c r="C881" s="3" t="s">
        <v>49</v>
      </c>
      <c r="D881" s="5" t="s">
        <v>23</v>
      </c>
      <c r="E881" s="10">
        <v>1.38</v>
      </c>
      <c r="F881" s="10">
        <v>6.18</v>
      </c>
      <c r="G881" s="10">
        <f>F881-2</f>
        <v>4.18</v>
      </c>
      <c r="H881" s="10">
        <v>1.92</v>
      </c>
      <c r="I881" s="8">
        <f t="shared" si="43"/>
        <v>2.8952985600000001</v>
      </c>
      <c r="K881" s="8">
        <f t="shared" si="45"/>
        <v>5.378461980963797</v>
      </c>
      <c r="L881" s="8">
        <f t="shared" si="44"/>
        <v>2.6892309904818985</v>
      </c>
    </row>
    <row r="882" spans="1:12" x14ac:dyDescent="0.25">
      <c r="A882" s="1">
        <v>881</v>
      </c>
      <c r="B882" s="1">
        <v>773</v>
      </c>
      <c r="C882" s="3" t="s">
        <v>49</v>
      </c>
      <c r="D882" s="5" t="s">
        <v>23</v>
      </c>
      <c r="E882" s="10">
        <v>2</v>
      </c>
      <c r="F882" s="10">
        <v>10.16</v>
      </c>
      <c r="G882" s="10">
        <v>7.85</v>
      </c>
      <c r="H882" s="10">
        <v>2.0299999999999998</v>
      </c>
      <c r="I882" s="8">
        <f t="shared" si="43"/>
        <v>3.2365548599999991</v>
      </c>
      <c r="K882" s="8">
        <f t="shared" si="45"/>
        <v>19.743510829998108</v>
      </c>
      <c r="L882" s="8">
        <f t="shared" si="44"/>
        <v>9.8717554149990541</v>
      </c>
    </row>
    <row r="883" spans="1:12" x14ac:dyDescent="0.25">
      <c r="A883" s="1">
        <v>882</v>
      </c>
      <c r="B883" s="1">
        <v>774</v>
      </c>
      <c r="C883" s="3" t="s">
        <v>49</v>
      </c>
      <c r="D883" s="5" t="s">
        <v>23</v>
      </c>
      <c r="E883" s="10">
        <v>1.31</v>
      </c>
      <c r="F883" s="10">
        <v>11.04</v>
      </c>
      <c r="G883" s="10">
        <v>6.01</v>
      </c>
      <c r="H883" s="10">
        <v>1.84</v>
      </c>
      <c r="I883" s="8">
        <f t="shared" si="43"/>
        <v>2.65905024</v>
      </c>
      <c r="K883" s="8">
        <f t="shared" si="45"/>
        <v>11.378062593154223</v>
      </c>
      <c r="L883" s="8">
        <f t="shared" si="44"/>
        <v>5.6890312965771113</v>
      </c>
    </row>
    <row r="884" spans="1:12" x14ac:dyDescent="0.25">
      <c r="A884" s="1">
        <v>883</v>
      </c>
      <c r="B884" s="1">
        <v>775</v>
      </c>
      <c r="C884" s="3" t="s">
        <v>49</v>
      </c>
      <c r="D884" s="5" t="s">
        <v>23</v>
      </c>
      <c r="E884" s="10">
        <v>1.23</v>
      </c>
      <c r="F884" s="10">
        <v>6.52</v>
      </c>
      <c r="G884" s="10">
        <f>F884-2</f>
        <v>4.5199999999999996</v>
      </c>
      <c r="H884" s="10">
        <v>2.06</v>
      </c>
      <c r="I884" s="8">
        <f t="shared" si="43"/>
        <v>3.3329234399999996</v>
      </c>
      <c r="K884" s="8">
        <f t="shared" si="45"/>
        <v>6.3203191052916177</v>
      </c>
      <c r="L884" s="8">
        <f t="shared" si="44"/>
        <v>3.1601595526458088</v>
      </c>
    </row>
    <row r="885" spans="1:12" x14ac:dyDescent="0.25">
      <c r="A885" s="1">
        <v>884</v>
      </c>
      <c r="B885" s="1">
        <v>776</v>
      </c>
      <c r="C885" s="3" t="s">
        <v>49</v>
      </c>
      <c r="D885" s="5" t="s">
        <v>23</v>
      </c>
      <c r="E885" s="10">
        <v>1.62</v>
      </c>
      <c r="F885" s="10">
        <v>5.67</v>
      </c>
      <c r="G885" s="10">
        <v>4.93</v>
      </c>
      <c r="H885" s="10">
        <v>1.8</v>
      </c>
      <c r="I885" s="8">
        <f t="shared" si="43"/>
        <v>2.5446960000000001</v>
      </c>
      <c r="K885" s="8">
        <f t="shared" si="45"/>
        <v>7.5604990565284913</v>
      </c>
      <c r="L885" s="8">
        <f t="shared" si="44"/>
        <v>3.7802495282642457</v>
      </c>
    </row>
    <row r="886" spans="1:12" x14ac:dyDescent="0.25">
      <c r="A886" s="1">
        <v>885</v>
      </c>
      <c r="B886" s="1">
        <v>777</v>
      </c>
      <c r="C886" s="3" t="s">
        <v>49</v>
      </c>
      <c r="D886" s="5" t="s">
        <v>23</v>
      </c>
      <c r="E886" s="10">
        <v>2.29</v>
      </c>
      <c r="F886" s="10">
        <v>5.17</v>
      </c>
      <c r="G886" s="10">
        <f>F886-2</f>
        <v>3.17</v>
      </c>
      <c r="H886" s="10">
        <v>1.91</v>
      </c>
      <c r="I886" s="8">
        <f t="shared" si="43"/>
        <v>2.8652177399999998</v>
      </c>
      <c r="K886" s="8">
        <f t="shared" si="45"/>
        <v>3.0394614056863367</v>
      </c>
      <c r="L886" s="8">
        <f t="shared" si="44"/>
        <v>1.5197307028431684</v>
      </c>
    </row>
    <row r="887" spans="1:12" x14ac:dyDescent="0.25">
      <c r="A887" s="1">
        <v>886</v>
      </c>
      <c r="B887" s="1">
        <v>778</v>
      </c>
      <c r="C887" s="3" t="s">
        <v>49</v>
      </c>
      <c r="D887" s="5" t="s">
        <v>23</v>
      </c>
      <c r="E887" s="10">
        <v>1.83</v>
      </c>
      <c r="F887" s="10">
        <v>9.49</v>
      </c>
      <c r="G887" s="10">
        <v>8.52</v>
      </c>
      <c r="H887" s="10">
        <v>2.02</v>
      </c>
      <c r="I887" s="8">
        <f t="shared" si="43"/>
        <v>3.20474616</v>
      </c>
      <c r="K887" s="8">
        <f t="shared" si="45"/>
        <v>23.378839497326044</v>
      </c>
      <c r="L887" s="8">
        <f t="shared" si="44"/>
        <v>11.689419748663022</v>
      </c>
    </row>
    <row r="888" spans="1:12" x14ac:dyDescent="0.25">
      <c r="A888" s="1">
        <v>887</v>
      </c>
      <c r="B888" s="1">
        <v>779</v>
      </c>
      <c r="C888" s="3" t="s">
        <v>49</v>
      </c>
      <c r="D888" s="5" t="s">
        <v>23</v>
      </c>
      <c r="E888" s="10">
        <v>1.93</v>
      </c>
      <c r="F888" s="10">
        <v>9.25</v>
      </c>
      <c r="G888" s="10">
        <v>6.12</v>
      </c>
      <c r="H888" s="10">
        <v>1.73</v>
      </c>
      <c r="I888" s="8">
        <f t="shared" si="43"/>
        <v>2.3506236600000001</v>
      </c>
      <c r="K888" s="8">
        <f t="shared" si="45"/>
        <v>11.811971901960023</v>
      </c>
      <c r="L888" s="8">
        <f t="shared" si="44"/>
        <v>5.9059859509800114</v>
      </c>
    </row>
    <row r="889" spans="1:12" x14ac:dyDescent="0.25">
      <c r="A889" s="1">
        <v>888</v>
      </c>
      <c r="B889" s="1">
        <v>780</v>
      </c>
      <c r="C889" s="3" t="s">
        <v>49</v>
      </c>
      <c r="D889" s="5" t="s">
        <v>23</v>
      </c>
      <c r="E889" s="10">
        <v>1.35</v>
      </c>
      <c r="F889" s="10">
        <v>8.83</v>
      </c>
      <c r="G889" s="10">
        <f>F889-2</f>
        <v>6.83</v>
      </c>
      <c r="H889" s="10">
        <v>1.95</v>
      </c>
      <c r="I889" s="8">
        <f t="shared" si="43"/>
        <v>2.9864834999999998</v>
      </c>
      <c r="K889" s="8">
        <f t="shared" si="45"/>
        <v>14.814533065858374</v>
      </c>
      <c r="L889" s="8">
        <f t="shared" si="44"/>
        <v>7.4072665329291869</v>
      </c>
    </row>
    <row r="890" spans="1:12" x14ac:dyDescent="0.25">
      <c r="A890" s="1">
        <v>889</v>
      </c>
      <c r="B890" s="1">
        <v>781</v>
      </c>
      <c r="C890" s="3" t="s">
        <v>49</v>
      </c>
      <c r="D890" s="5" t="s">
        <v>23</v>
      </c>
      <c r="E890" s="10">
        <v>1.46</v>
      </c>
      <c r="F890" s="10">
        <v>6.62</v>
      </c>
      <c r="G890" s="10">
        <f>F890-2</f>
        <v>4.62</v>
      </c>
      <c r="H890" s="10">
        <v>2.04</v>
      </c>
      <c r="I890" s="8">
        <f t="shared" si="43"/>
        <v>3.2685206399999998</v>
      </c>
      <c r="K890" s="8">
        <f t="shared" si="45"/>
        <v>6.612254520167034</v>
      </c>
      <c r="L890" s="8">
        <f t="shared" si="44"/>
        <v>3.306127260083517</v>
      </c>
    </row>
    <row r="891" spans="1:12" x14ac:dyDescent="0.25">
      <c r="A891" s="1">
        <v>890</v>
      </c>
      <c r="B891" s="1">
        <v>782</v>
      </c>
      <c r="C891" s="3" t="s">
        <v>49</v>
      </c>
      <c r="D891" s="5" t="s">
        <v>23</v>
      </c>
      <c r="E891" s="10">
        <v>2.12</v>
      </c>
      <c r="F891" s="10">
        <v>7.74</v>
      </c>
      <c r="G891" s="10">
        <f>F891-2</f>
        <v>5.74</v>
      </c>
      <c r="H891" s="10">
        <v>1.81</v>
      </c>
      <c r="I891" s="8">
        <f t="shared" si="43"/>
        <v>2.5730489400000001</v>
      </c>
      <c r="K891" s="8">
        <f t="shared" si="45"/>
        <v>10.348455478543244</v>
      </c>
      <c r="L891" s="8">
        <f t="shared" si="44"/>
        <v>5.1742277392716218</v>
      </c>
    </row>
    <row r="892" spans="1:12" x14ac:dyDescent="0.25">
      <c r="A892" s="1">
        <v>891</v>
      </c>
      <c r="B892" s="1">
        <v>783</v>
      </c>
      <c r="C892" s="3" t="s">
        <v>49</v>
      </c>
      <c r="D892" s="5" t="s">
        <v>23</v>
      </c>
      <c r="E892" s="10">
        <v>1.68</v>
      </c>
      <c r="F892" s="10">
        <v>9.16</v>
      </c>
      <c r="G892" s="10">
        <f>F892-2</f>
        <v>7.16</v>
      </c>
      <c r="H892" s="10">
        <v>2.02</v>
      </c>
      <c r="I892" s="8">
        <f t="shared" si="43"/>
        <v>3.20474616</v>
      </c>
      <c r="K892" s="8">
        <f t="shared" si="45"/>
        <v>16.329536849961485</v>
      </c>
      <c r="L892" s="8">
        <f t="shared" si="44"/>
        <v>8.1647684249807426</v>
      </c>
    </row>
    <row r="893" spans="1:12" x14ac:dyDescent="0.25">
      <c r="A893" s="1">
        <v>892</v>
      </c>
      <c r="B893" s="1">
        <v>784</v>
      </c>
      <c r="C893" s="3" t="s">
        <v>49</v>
      </c>
      <c r="D893" s="5" t="s">
        <v>23</v>
      </c>
      <c r="E893" s="10">
        <v>2.2599999999999998</v>
      </c>
      <c r="F893" s="10">
        <v>8.48</v>
      </c>
      <c r="G893" s="10">
        <v>6.02</v>
      </c>
      <c r="H893" s="10">
        <v>2.0499999999999998</v>
      </c>
      <c r="I893" s="8">
        <f t="shared" si="43"/>
        <v>3.3006434999999996</v>
      </c>
      <c r="K893" s="8">
        <f t="shared" si="45"/>
        <v>11.417163102651509</v>
      </c>
      <c r="L893" s="8">
        <f t="shared" si="44"/>
        <v>5.7085815513257545</v>
      </c>
    </row>
    <row r="894" spans="1:12" x14ac:dyDescent="0.25">
      <c r="A894" s="1">
        <v>893</v>
      </c>
      <c r="B894" s="1">
        <v>785</v>
      </c>
      <c r="C894" s="3" t="s">
        <v>49</v>
      </c>
      <c r="D894" s="5" t="s">
        <v>23</v>
      </c>
      <c r="E894" s="10">
        <v>1.44</v>
      </c>
      <c r="F894" s="10">
        <v>11.91</v>
      </c>
      <c r="G894" s="10">
        <v>5.23</v>
      </c>
      <c r="H894" s="10">
        <v>1.84</v>
      </c>
      <c r="I894" s="8">
        <f t="shared" si="43"/>
        <v>2.65905024</v>
      </c>
      <c r="K894" s="8">
        <f t="shared" si="45"/>
        <v>8.5406137358419834</v>
      </c>
      <c r="L894" s="8">
        <f t="shared" si="44"/>
        <v>4.2703068679209917</v>
      </c>
    </row>
    <row r="895" spans="1:12" x14ac:dyDescent="0.25">
      <c r="A895" s="1">
        <v>894</v>
      </c>
      <c r="B895" s="1">
        <v>786</v>
      </c>
      <c r="C895" s="3" t="s">
        <v>49</v>
      </c>
      <c r="D895" s="5" t="s">
        <v>23</v>
      </c>
      <c r="E895" s="10">
        <v>1.91</v>
      </c>
      <c r="F895" s="10">
        <v>5.96</v>
      </c>
      <c r="G895" s="10">
        <f>F895-2</f>
        <v>3.96</v>
      </c>
      <c r="H895" s="10">
        <v>2.0499999999999998</v>
      </c>
      <c r="I895" s="8">
        <f t="shared" si="43"/>
        <v>3.3006434999999996</v>
      </c>
      <c r="K895" s="8">
        <f t="shared" si="45"/>
        <v>4.8106621947470236</v>
      </c>
      <c r="L895" s="8">
        <f t="shared" si="44"/>
        <v>2.4053310973735118</v>
      </c>
    </row>
    <row r="896" spans="1:12" x14ac:dyDescent="0.25">
      <c r="A896" s="1">
        <v>895</v>
      </c>
      <c r="B896" s="1">
        <v>787</v>
      </c>
      <c r="C896" s="3" t="s">
        <v>49</v>
      </c>
      <c r="D896" s="5" t="s">
        <v>23</v>
      </c>
      <c r="E896" s="10">
        <v>1.89</v>
      </c>
      <c r="F896" s="10">
        <v>9.8699999999999992</v>
      </c>
      <c r="G896" s="10">
        <v>5.6</v>
      </c>
      <c r="H896" s="10">
        <v>1.87</v>
      </c>
      <c r="I896" s="8">
        <f t="shared" si="43"/>
        <v>2.7464652600000004</v>
      </c>
      <c r="K896" s="8">
        <f t="shared" si="45"/>
        <v>9.8343766924811504</v>
      </c>
      <c r="L896" s="8">
        <f t="shared" si="44"/>
        <v>4.9171883462405752</v>
      </c>
    </row>
    <row r="897" spans="1:13" x14ac:dyDescent="0.25">
      <c r="A897" s="1">
        <v>896</v>
      </c>
      <c r="B897" s="1">
        <v>788</v>
      </c>
      <c r="C897" s="3" t="s">
        <v>49</v>
      </c>
      <c r="D897" s="5" t="s">
        <v>23</v>
      </c>
      <c r="E897" s="10">
        <v>1.43</v>
      </c>
      <c r="F897" s="10">
        <v>7.83</v>
      </c>
      <c r="G897" s="10">
        <v>7.21</v>
      </c>
      <c r="H897" s="10">
        <v>1.9</v>
      </c>
      <c r="I897" s="8">
        <f t="shared" si="43"/>
        <v>2.8352939999999998</v>
      </c>
      <c r="K897" s="8">
        <f t="shared" si="45"/>
        <v>16.565718011895054</v>
      </c>
      <c r="L897" s="8">
        <f t="shared" si="44"/>
        <v>8.2828590059475271</v>
      </c>
    </row>
    <row r="898" spans="1:13" x14ac:dyDescent="0.25">
      <c r="A898" s="1">
        <v>897</v>
      </c>
      <c r="B898" s="1">
        <v>789</v>
      </c>
      <c r="C898" s="3" t="s">
        <v>49</v>
      </c>
      <c r="D898" s="5" t="s">
        <v>23</v>
      </c>
      <c r="E898" s="10">
        <v>2.25</v>
      </c>
      <c r="F898" s="10">
        <v>8</v>
      </c>
      <c r="G898" s="10">
        <f>F898-2</f>
        <v>6</v>
      </c>
      <c r="H898" s="10">
        <v>1.87</v>
      </c>
      <c r="I898" s="8">
        <f t="shared" si="43"/>
        <v>2.7464652600000004</v>
      </c>
      <c r="K898" s="8">
        <f t="shared" si="45"/>
        <v>11.339031212825912</v>
      </c>
      <c r="L898" s="8">
        <f t="shared" si="44"/>
        <v>5.6695156064129559</v>
      </c>
    </row>
    <row r="899" spans="1:13" x14ac:dyDescent="0.25">
      <c r="A899" s="1">
        <v>898</v>
      </c>
      <c r="B899" s="1">
        <v>790</v>
      </c>
      <c r="C899" s="3" t="s">
        <v>49</v>
      </c>
      <c r="D899" s="5" t="s">
        <v>23</v>
      </c>
      <c r="E899" s="10">
        <v>2.2999999999999998</v>
      </c>
      <c r="F899" s="10">
        <v>10.02</v>
      </c>
      <c r="G899" s="10">
        <v>7.82</v>
      </c>
      <c r="H899" s="10">
        <v>2.04</v>
      </c>
      <c r="I899" s="8">
        <f t="shared" ref="I899:I960" si="46">0.7854*H899^2</f>
        <v>3.2685206399999998</v>
      </c>
      <c r="K899" s="8">
        <f t="shared" si="45"/>
        <v>19.58813013172561</v>
      </c>
      <c r="L899" s="8">
        <f t="shared" ref="L899:L960" si="47">K899*0.5</f>
        <v>9.7940650658628048</v>
      </c>
    </row>
    <row r="900" spans="1:13" x14ac:dyDescent="0.25">
      <c r="A900" s="1">
        <v>899</v>
      </c>
      <c r="B900" s="1">
        <v>791</v>
      </c>
      <c r="C900" s="3" t="s">
        <v>49</v>
      </c>
      <c r="D900" s="5" t="s">
        <v>23</v>
      </c>
      <c r="E900" s="10">
        <v>2.23</v>
      </c>
      <c r="F900" s="10">
        <v>9.85</v>
      </c>
      <c r="G900" s="10">
        <v>5.62</v>
      </c>
      <c r="H900" s="10">
        <v>1.77</v>
      </c>
      <c r="I900" s="8">
        <f t="shared" si="46"/>
        <v>2.4605796600000001</v>
      </c>
      <c r="K900" s="8">
        <f t="shared" si="45"/>
        <v>9.9069901862164613</v>
      </c>
      <c r="L900" s="8">
        <f t="shared" si="47"/>
        <v>4.9534950931082307</v>
      </c>
    </row>
    <row r="901" spans="1:13" x14ac:dyDescent="0.25">
      <c r="A901" s="1">
        <v>900</v>
      </c>
      <c r="B901" s="1">
        <v>792</v>
      </c>
      <c r="C901" s="3" t="s">
        <v>49</v>
      </c>
      <c r="D901" s="5" t="s">
        <v>23</v>
      </c>
      <c r="E901" s="10">
        <v>1.35</v>
      </c>
      <c r="F901" s="10">
        <v>11.94</v>
      </c>
      <c r="G901" s="10">
        <v>4.17</v>
      </c>
      <c r="H901" s="10">
        <v>1.93</v>
      </c>
      <c r="I901" s="8">
        <f t="shared" si="46"/>
        <v>2.92553646</v>
      </c>
      <c r="K901" s="8">
        <f t="shared" si="45"/>
        <v>5.3519444251195925</v>
      </c>
      <c r="L901" s="8">
        <f t="shared" si="47"/>
        <v>2.6759722125597962</v>
      </c>
    </row>
    <row r="902" spans="1:13" x14ac:dyDescent="0.25">
      <c r="A902" s="1">
        <v>901</v>
      </c>
      <c r="B902" s="1">
        <v>793</v>
      </c>
      <c r="C902" s="3" t="s">
        <v>49</v>
      </c>
      <c r="D902" s="5" t="s">
        <v>23</v>
      </c>
      <c r="E902" s="10">
        <v>2.12</v>
      </c>
      <c r="F902" s="10">
        <v>5.9</v>
      </c>
      <c r="G902" s="10">
        <f>F902-2</f>
        <v>3.9000000000000004</v>
      </c>
      <c r="H902" s="10">
        <v>1.85</v>
      </c>
      <c r="I902" s="8">
        <f t="shared" si="46"/>
        <v>2.6880315000000001</v>
      </c>
      <c r="K902" s="8">
        <f t="shared" si="45"/>
        <v>4.6614675167816282</v>
      </c>
      <c r="L902" s="8">
        <f t="shared" si="47"/>
        <v>2.3307337583908141</v>
      </c>
    </row>
    <row r="903" spans="1:13" x14ac:dyDescent="0.25">
      <c r="A903" s="1">
        <v>902</v>
      </c>
      <c r="B903" s="1">
        <v>794</v>
      </c>
      <c r="C903" s="3" t="s">
        <v>49</v>
      </c>
      <c r="D903" s="5" t="s">
        <v>23</v>
      </c>
      <c r="E903" s="10">
        <v>1.95</v>
      </c>
      <c r="F903" s="10">
        <v>5.73</v>
      </c>
      <c r="G903" s="10">
        <v>4</v>
      </c>
      <c r="H903" s="10">
        <v>1.86</v>
      </c>
      <c r="I903" s="8">
        <f t="shared" si="46"/>
        <v>2.7171698400000004</v>
      </c>
      <c r="K903" s="8">
        <f t="shared" si="45"/>
        <v>4.9114716065456436</v>
      </c>
      <c r="L903" s="8">
        <f t="shared" si="47"/>
        <v>2.4557358032728218</v>
      </c>
    </row>
    <row r="904" spans="1:13" x14ac:dyDescent="0.25">
      <c r="A904" s="1">
        <v>903</v>
      </c>
      <c r="B904" s="1">
        <v>795</v>
      </c>
      <c r="C904" s="3" t="s">
        <v>49</v>
      </c>
      <c r="D904" s="5" t="s">
        <v>23</v>
      </c>
      <c r="E904" s="10">
        <v>2.0699999999999998</v>
      </c>
      <c r="F904" s="10">
        <v>10.07</v>
      </c>
      <c r="G904" s="10">
        <v>9.23</v>
      </c>
      <c r="H904" s="10">
        <v>1.78</v>
      </c>
      <c r="I904" s="8">
        <f t="shared" si="46"/>
        <v>2.4884613600000001</v>
      </c>
      <c r="K904" s="8">
        <f t="shared" si="45"/>
        <v>27.577478563442824</v>
      </c>
      <c r="L904" s="8">
        <f t="shared" si="47"/>
        <v>13.788739281721412</v>
      </c>
    </row>
    <row r="905" spans="1:13" x14ac:dyDescent="0.25">
      <c r="A905" s="1">
        <v>904</v>
      </c>
      <c r="B905" s="1">
        <v>796</v>
      </c>
      <c r="C905" s="3" t="s">
        <v>49</v>
      </c>
      <c r="D905" s="5" t="s">
        <v>23</v>
      </c>
      <c r="E905" s="10">
        <v>2.06</v>
      </c>
      <c r="F905" s="10">
        <v>9.0500000000000007</v>
      </c>
      <c r="G905" s="10">
        <v>5.42</v>
      </c>
      <c r="H905" s="10">
        <v>1.69</v>
      </c>
      <c r="I905" s="8">
        <f t="shared" si="46"/>
        <v>2.2431809399999998</v>
      </c>
      <c r="K905" s="8">
        <f t="shared" si="45"/>
        <v>9.1932352448289585</v>
      </c>
      <c r="L905" s="8">
        <f t="shared" si="47"/>
        <v>4.5966176224144792</v>
      </c>
    </row>
    <row r="906" spans="1:13" x14ac:dyDescent="0.25">
      <c r="A906" s="1">
        <v>905</v>
      </c>
      <c r="B906" s="1">
        <v>797</v>
      </c>
      <c r="C906" s="3" t="s">
        <v>49</v>
      </c>
      <c r="D906" s="5" t="s">
        <v>23</v>
      </c>
      <c r="E906" s="10">
        <v>2.38</v>
      </c>
      <c r="F906" s="10">
        <v>6.92</v>
      </c>
      <c r="G906" s="10">
        <v>4.08</v>
      </c>
      <c r="H906" s="10">
        <v>1.76</v>
      </c>
      <c r="I906" s="8">
        <f t="shared" si="46"/>
        <v>2.4328550399999997</v>
      </c>
      <c r="K906" s="8">
        <f t="shared" si="45"/>
        <v>5.1163246246443057</v>
      </c>
      <c r="L906" s="8">
        <f t="shared" si="47"/>
        <v>2.5581623123221529</v>
      </c>
    </row>
    <row r="907" spans="1:13" x14ac:dyDescent="0.25">
      <c r="A907" s="1">
        <v>908</v>
      </c>
      <c r="B907" s="1">
        <v>1</v>
      </c>
      <c r="C907" s="3" t="s">
        <v>63</v>
      </c>
      <c r="D907" s="5" t="s">
        <v>22</v>
      </c>
      <c r="E907" s="10">
        <v>1.26</v>
      </c>
      <c r="F907" s="10">
        <v>11.26</v>
      </c>
      <c r="G907" s="10">
        <v>7.46</v>
      </c>
      <c r="H907" s="10">
        <v>2.0499999999999998</v>
      </c>
      <c r="I907" s="8">
        <f t="shared" si="46"/>
        <v>3.3006434999999996</v>
      </c>
      <c r="K907" s="8">
        <f t="shared" si="45"/>
        <v>17.772863937302585</v>
      </c>
      <c r="L907" s="8">
        <f t="shared" si="47"/>
        <v>8.8864319686512925</v>
      </c>
      <c r="M907" s="7">
        <f>SUM(L110:L907)</f>
        <v>4199.2838303331464</v>
      </c>
    </row>
    <row r="908" spans="1:13" x14ac:dyDescent="0.25">
      <c r="A908" s="1">
        <v>909</v>
      </c>
      <c r="B908" s="1">
        <v>2</v>
      </c>
      <c r="C908" s="3" t="s">
        <v>63</v>
      </c>
      <c r="D908" s="5" t="s">
        <v>22</v>
      </c>
      <c r="E908" s="10">
        <v>1.19</v>
      </c>
      <c r="F908" s="10">
        <v>9.9499999999999993</v>
      </c>
      <c r="G908" s="10">
        <v>4.1500000000000004</v>
      </c>
      <c r="H908" s="10">
        <v>1.81</v>
      </c>
      <c r="I908" s="8">
        <f t="shared" si="46"/>
        <v>2.5730489400000001</v>
      </c>
      <c r="K908" s="8">
        <f t="shared" ref="K908:K971" si="48">0.2811*G908^2.0635</f>
        <v>5.2991119326445704</v>
      </c>
      <c r="L908" s="8">
        <f t="shared" si="47"/>
        <v>2.6495559663222852</v>
      </c>
    </row>
    <row r="909" spans="1:13" x14ac:dyDescent="0.25">
      <c r="A909" s="1">
        <v>910</v>
      </c>
      <c r="B909" s="1">
        <v>3</v>
      </c>
      <c r="C909" s="3" t="s">
        <v>63</v>
      </c>
      <c r="D909" s="5" t="s">
        <v>22</v>
      </c>
      <c r="E909" s="10">
        <v>1.99</v>
      </c>
      <c r="F909" s="10">
        <v>6.07</v>
      </c>
      <c r="G909" s="10">
        <v>4.9400000000000004</v>
      </c>
      <c r="H909" s="10">
        <v>1.94</v>
      </c>
      <c r="I909" s="8">
        <f t="shared" si="46"/>
        <v>2.9559314399999996</v>
      </c>
      <c r="K909" s="8">
        <f t="shared" si="48"/>
        <v>7.5921784031148354</v>
      </c>
      <c r="L909" s="8">
        <f t="shared" si="47"/>
        <v>3.7960892015574177</v>
      </c>
    </row>
    <row r="910" spans="1:13" x14ac:dyDescent="0.25">
      <c r="A910" s="1">
        <v>911</v>
      </c>
      <c r="B910" s="1">
        <v>4</v>
      </c>
      <c r="C910" s="3" t="s">
        <v>63</v>
      </c>
      <c r="D910" s="5" t="s">
        <v>22</v>
      </c>
      <c r="E910" s="10">
        <v>1.46</v>
      </c>
      <c r="F910" s="10">
        <v>9.0299999999999994</v>
      </c>
      <c r="G910" s="10">
        <v>4.3600000000000003</v>
      </c>
      <c r="H910" s="10">
        <v>2.0499999999999998</v>
      </c>
      <c r="I910" s="8">
        <f t="shared" si="46"/>
        <v>3.3006434999999996</v>
      </c>
      <c r="K910" s="8">
        <f t="shared" si="48"/>
        <v>5.8673394706325999</v>
      </c>
      <c r="L910" s="8">
        <f t="shared" si="47"/>
        <v>2.9336697353162999</v>
      </c>
    </row>
    <row r="911" spans="1:13" x14ac:dyDescent="0.25">
      <c r="A911" s="1">
        <v>912</v>
      </c>
      <c r="B911" s="1">
        <v>5</v>
      </c>
      <c r="C911" s="3" t="s">
        <v>63</v>
      </c>
      <c r="D911" s="5" t="s">
        <v>22</v>
      </c>
      <c r="E911" s="10">
        <v>2.21</v>
      </c>
      <c r="F911" s="10">
        <v>9.25</v>
      </c>
      <c r="G911" s="10">
        <v>5.13</v>
      </c>
      <c r="H911" s="10">
        <v>1.74</v>
      </c>
      <c r="I911" s="8">
        <f t="shared" si="46"/>
        <v>2.37787704</v>
      </c>
      <c r="K911" s="8">
        <f t="shared" si="48"/>
        <v>8.2070679378783336</v>
      </c>
      <c r="L911" s="8">
        <f t="shared" si="47"/>
        <v>4.1035339689391668</v>
      </c>
    </row>
    <row r="912" spans="1:13" x14ac:dyDescent="0.25">
      <c r="A912" s="1">
        <v>913</v>
      </c>
      <c r="B912" s="1">
        <v>6</v>
      </c>
      <c r="C912" s="3" t="s">
        <v>63</v>
      </c>
      <c r="D912" s="5" t="s">
        <v>22</v>
      </c>
      <c r="E912" s="10">
        <v>1.95</v>
      </c>
      <c r="F912" s="10">
        <v>7.97</v>
      </c>
      <c r="G912" s="10">
        <v>3.42</v>
      </c>
      <c r="H912" s="10">
        <v>1.74</v>
      </c>
      <c r="I912" s="8">
        <f t="shared" si="46"/>
        <v>2.37787704</v>
      </c>
      <c r="K912" s="8">
        <f t="shared" si="48"/>
        <v>3.5548699349452444</v>
      </c>
      <c r="L912" s="8">
        <f t="shared" si="47"/>
        <v>1.7774349674726222</v>
      </c>
    </row>
    <row r="913" spans="1:12" x14ac:dyDescent="0.25">
      <c r="A913" s="1">
        <v>914</v>
      </c>
      <c r="B913" s="1">
        <v>7</v>
      </c>
      <c r="C913" s="3" t="s">
        <v>63</v>
      </c>
      <c r="D913" s="5" t="s">
        <v>22</v>
      </c>
      <c r="E913" s="10">
        <v>1.63</v>
      </c>
      <c r="F913" s="10">
        <v>10.16</v>
      </c>
      <c r="G913" s="10">
        <v>6.11</v>
      </c>
      <c r="H913" s="10">
        <v>1.94</v>
      </c>
      <c r="I913" s="8">
        <f t="shared" si="46"/>
        <v>2.9559314399999996</v>
      </c>
      <c r="K913" s="8">
        <f t="shared" si="48"/>
        <v>11.77217970122566</v>
      </c>
      <c r="L913" s="8">
        <f t="shared" si="47"/>
        <v>5.8860898506128301</v>
      </c>
    </row>
    <row r="914" spans="1:12" x14ac:dyDescent="0.25">
      <c r="A914" s="1">
        <v>915</v>
      </c>
      <c r="B914" s="1">
        <v>8</v>
      </c>
      <c r="C914" s="3" t="s">
        <v>63</v>
      </c>
      <c r="D914" s="5" t="s">
        <v>22</v>
      </c>
      <c r="E914" s="10">
        <v>1.62</v>
      </c>
      <c r="F914" s="10">
        <v>11.54</v>
      </c>
      <c r="G914" s="10">
        <v>8</v>
      </c>
      <c r="H914" s="10">
        <v>1.71</v>
      </c>
      <c r="I914" s="8">
        <f t="shared" si="46"/>
        <v>2.2965881399999999</v>
      </c>
      <c r="K914" s="8">
        <f t="shared" si="48"/>
        <v>20.52990944556926</v>
      </c>
      <c r="L914" s="8">
        <f t="shared" si="47"/>
        <v>10.26495472278463</v>
      </c>
    </row>
    <row r="915" spans="1:12" x14ac:dyDescent="0.25">
      <c r="A915" s="1">
        <v>916</v>
      </c>
      <c r="B915" s="1">
        <v>9</v>
      </c>
      <c r="C915" s="3" t="s">
        <v>63</v>
      </c>
      <c r="D915" s="5" t="s">
        <v>22</v>
      </c>
      <c r="E915" s="10">
        <v>1.81</v>
      </c>
      <c r="F915" s="10">
        <v>11.48</v>
      </c>
      <c r="G915" s="10">
        <v>7.8</v>
      </c>
      <c r="H915" s="10">
        <v>2.02</v>
      </c>
      <c r="I915" s="8">
        <f t="shared" si="46"/>
        <v>3.20474616</v>
      </c>
      <c r="K915" s="8">
        <f t="shared" si="48"/>
        <v>19.484894481614912</v>
      </c>
      <c r="L915" s="8">
        <f t="shared" si="47"/>
        <v>9.7424472408074561</v>
      </c>
    </row>
    <row r="916" spans="1:12" x14ac:dyDescent="0.25">
      <c r="A916" s="1">
        <v>917</v>
      </c>
      <c r="B916" s="1">
        <v>10</v>
      </c>
      <c r="C916" s="3" t="s">
        <v>63</v>
      </c>
      <c r="D916" s="5" t="s">
        <v>22</v>
      </c>
      <c r="E916" s="10">
        <v>2.3199999999999998</v>
      </c>
      <c r="F916" s="10">
        <v>8.16</v>
      </c>
      <c r="G916" s="10">
        <v>4.4000000000000004</v>
      </c>
      <c r="H916" s="10">
        <v>2.06</v>
      </c>
      <c r="I916" s="8">
        <f t="shared" si="46"/>
        <v>3.3329234399999996</v>
      </c>
      <c r="K916" s="8">
        <f t="shared" si="48"/>
        <v>5.9789571859016917</v>
      </c>
      <c r="L916" s="8">
        <f t="shared" si="47"/>
        <v>2.9894785929508458</v>
      </c>
    </row>
    <row r="917" spans="1:12" x14ac:dyDescent="0.25">
      <c r="A917" s="1">
        <v>918</v>
      </c>
      <c r="B917" s="1">
        <v>11</v>
      </c>
      <c r="C917" s="3" t="s">
        <v>63</v>
      </c>
      <c r="D917" s="5" t="s">
        <v>22</v>
      </c>
      <c r="E917" s="10">
        <v>1.64</v>
      </c>
      <c r="F917" s="10">
        <v>5.79</v>
      </c>
      <c r="G917" s="10">
        <v>6.24</v>
      </c>
      <c r="H917" s="10">
        <v>1.72</v>
      </c>
      <c r="I917" s="8">
        <f t="shared" si="46"/>
        <v>2.3235273599999999</v>
      </c>
      <c r="K917" s="8">
        <f t="shared" si="48"/>
        <v>12.294878644105678</v>
      </c>
      <c r="L917" s="8">
        <f t="shared" si="47"/>
        <v>6.1474393220528389</v>
      </c>
    </row>
    <row r="918" spans="1:12" x14ac:dyDescent="0.25">
      <c r="A918" s="1">
        <v>919</v>
      </c>
      <c r="B918" s="1">
        <v>12</v>
      </c>
      <c r="C918" s="3" t="s">
        <v>63</v>
      </c>
      <c r="D918" s="5" t="s">
        <v>22</v>
      </c>
      <c r="E918" s="10">
        <v>2.12</v>
      </c>
      <c r="F918" s="10">
        <v>11.89</v>
      </c>
      <c r="G918" s="10">
        <v>8.2799999999999994</v>
      </c>
      <c r="H918" s="10">
        <v>2.0499999999999998</v>
      </c>
      <c r="I918" s="8">
        <f t="shared" si="46"/>
        <v>3.3006434999999996</v>
      </c>
      <c r="K918" s="8">
        <f t="shared" si="48"/>
        <v>22.040246407104949</v>
      </c>
      <c r="L918" s="8">
        <f t="shared" si="47"/>
        <v>11.020123203552474</v>
      </c>
    </row>
    <row r="919" spans="1:12" x14ac:dyDescent="0.25">
      <c r="A919" s="1">
        <v>920</v>
      </c>
      <c r="B919" s="1">
        <v>13</v>
      </c>
      <c r="C919" s="3" t="s">
        <v>63</v>
      </c>
      <c r="D919" s="5" t="s">
        <v>22</v>
      </c>
      <c r="E919" s="10">
        <v>1.61</v>
      </c>
      <c r="F919" s="10">
        <v>10.87</v>
      </c>
      <c r="G919" s="10">
        <v>6.91</v>
      </c>
      <c r="H919" s="10">
        <v>1.89</v>
      </c>
      <c r="I919" s="8">
        <f t="shared" si="46"/>
        <v>2.8055273399999998</v>
      </c>
      <c r="K919" s="8">
        <f t="shared" si="48"/>
        <v>15.174828668281439</v>
      </c>
      <c r="L919" s="8">
        <f t="shared" si="47"/>
        <v>7.5874143341407194</v>
      </c>
    </row>
    <row r="920" spans="1:12" x14ac:dyDescent="0.25">
      <c r="A920" s="1">
        <v>921</v>
      </c>
      <c r="B920" s="1">
        <v>14</v>
      </c>
      <c r="C920" s="3" t="s">
        <v>63</v>
      </c>
      <c r="D920" s="5" t="s">
        <v>22</v>
      </c>
      <c r="E920" s="10">
        <v>1.35</v>
      </c>
      <c r="F920" s="10">
        <v>5.87</v>
      </c>
      <c r="G920" s="10">
        <v>6.2</v>
      </c>
      <c r="H920" s="10">
        <v>2.1</v>
      </c>
      <c r="I920" s="8">
        <f t="shared" si="46"/>
        <v>3.4636140000000002</v>
      </c>
      <c r="K920" s="8">
        <f t="shared" si="48"/>
        <v>12.132801627168117</v>
      </c>
      <c r="L920" s="8">
        <f t="shared" si="47"/>
        <v>6.0664008135840586</v>
      </c>
    </row>
    <row r="921" spans="1:12" x14ac:dyDescent="0.25">
      <c r="A921" s="1">
        <v>922</v>
      </c>
      <c r="B921" s="1">
        <v>15</v>
      </c>
      <c r="C921" s="3" t="s">
        <v>63</v>
      </c>
      <c r="D921" s="5" t="s">
        <v>22</v>
      </c>
      <c r="E921" s="10">
        <v>2.37</v>
      </c>
      <c r="F921" s="10">
        <v>11.45</v>
      </c>
      <c r="G921" s="10">
        <v>4.95</v>
      </c>
      <c r="H921" s="10">
        <v>1.79</v>
      </c>
      <c r="I921" s="8">
        <f t="shared" si="46"/>
        <v>2.5165001399999998</v>
      </c>
      <c r="K921" s="8">
        <f t="shared" si="48"/>
        <v>7.6239260235624702</v>
      </c>
      <c r="L921" s="8">
        <f t="shared" si="47"/>
        <v>3.8119630117812351</v>
      </c>
    </row>
    <row r="922" spans="1:12" x14ac:dyDescent="0.25">
      <c r="A922" s="1">
        <v>923</v>
      </c>
      <c r="B922" s="1">
        <v>16</v>
      </c>
      <c r="C922" s="3" t="s">
        <v>63</v>
      </c>
      <c r="D922" s="5" t="s">
        <v>22</v>
      </c>
      <c r="E922" s="10">
        <v>1.82</v>
      </c>
      <c r="F922" s="10">
        <v>11.09</v>
      </c>
      <c r="G922" s="10">
        <v>5</v>
      </c>
      <c r="H922" s="10">
        <v>1.94</v>
      </c>
      <c r="I922" s="8">
        <f t="shared" si="46"/>
        <v>2.9559314399999996</v>
      </c>
      <c r="K922" s="8">
        <f t="shared" si="48"/>
        <v>7.7836885400141007</v>
      </c>
      <c r="L922" s="8">
        <f t="shared" si="47"/>
        <v>3.8918442700070504</v>
      </c>
    </row>
    <row r="923" spans="1:12" x14ac:dyDescent="0.25">
      <c r="A923" s="1">
        <v>924</v>
      </c>
      <c r="B923" s="1">
        <v>17</v>
      </c>
      <c r="C923" s="3" t="s">
        <v>63</v>
      </c>
      <c r="D923" s="5" t="s">
        <v>22</v>
      </c>
      <c r="E923" s="10">
        <v>1.64</v>
      </c>
      <c r="F923" s="10">
        <v>8.6300000000000008</v>
      </c>
      <c r="G923" s="10">
        <v>7.02</v>
      </c>
      <c r="H923" s="10">
        <v>2.1</v>
      </c>
      <c r="I923" s="8">
        <f t="shared" si="46"/>
        <v>3.4636140000000002</v>
      </c>
      <c r="K923" s="8">
        <f t="shared" si="48"/>
        <v>15.677524079343854</v>
      </c>
      <c r="L923" s="8">
        <f t="shared" si="47"/>
        <v>7.8387620396719271</v>
      </c>
    </row>
    <row r="924" spans="1:12" x14ac:dyDescent="0.25">
      <c r="A924" s="1">
        <v>925</v>
      </c>
      <c r="B924" s="1">
        <v>18</v>
      </c>
      <c r="C924" s="3" t="s">
        <v>63</v>
      </c>
      <c r="D924" s="5" t="s">
        <v>22</v>
      </c>
      <c r="E924" s="10">
        <v>2.16</v>
      </c>
      <c r="F924" s="10">
        <v>9.14</v>
      </c>
      <c r="G924" s="10">
        <v>8.9600000000000009</v>
      </c>
      <c r="H924" s="10">
        <v>1.94</v>
      </c>
      <c r="I924" s="8">
        <f t="shared" si="46"/>
        <v>2.9559314399999996</v>
      </c>
      <c r="K924" s="8">
        <f t="shared" si="48"/>
        <v>25.938712978087548</v>
      </c>
      <c r="L924" s="8">
        <f t="shared" si="47"/>
        <v>12.969356489043774</v>
      </c>
    </row>
    <row r="925" spans="1:12" x14ac:dyDescent="0.25">
      <c r="A925" s="1">
        <v>926</v>
      </c>
      <c r="B925" s="1">
        <v>19</v>
      </c>
      <c r="C925" s="3" t="s">
        <v>63</v>
      </c>
      <c r="D925" s="5" t="s">
        <v>22</v>
      </c>
      <c r="E925" s="10">
        <v>1.8</v>
      </c>
      <c r="F925" s="10">
        <v>7.79</v>
      </c>
      <c r="G925" s="10">
        <v>6.97</v>
      </c>
      <c r="H925" s="10">
        <v>2.02</v>
      </c>
      <c r="I925" s="8">
        <f t="shared" si="46"/>
        <v>3.20474616</v>
      </c>
      <c r="K925" s="8">
        <f t="shared" si="48"/>
        <v>15.447979456059098</v>
      </c>
      <c r="L925" s="8">
        <f t="shared" si="47"/>
        <v>7.7239897280295491</v>
      </c>
    </row>
    <row r="926" spans="1:12" x14ac:dyDescent="0.25">
      <c r="A926" s="1">
        <v>927</v>
      </c>
      <c r="B926" s="1">
        <v>20</v>
      </c>
      <c r="C926" s="3" t="s">
        <v>63</v>
      </c>
      <c r="D926" s="5" t="s">
        <v>22</v>
      </c>
      <c r="E926" s="10">
        <v>2.3199999999999998</v>
      </c>
      <c r="F926" s="10">
        <v>5.38</v>
      </c>
      <c r="G926" s="10">
        <v>6.35</v>
      </c>
      <c r="H926" s="10">
        <v>1.78</v>
      </c>
      <c r="I926" s="8">
        <f t="shared" si="46"/>
        <v>2.4884613600000001</v>
      </c>
      <c r="K926" s="8">
        <f t="shared" si="48"/>
        <v>12.746308564853893</v>
      </c>
      <c r="L926" s="8">
        <f t="shared" si="47"/>
        <v>6.3731542824269463</v>
      </c>
    </row>
    <row r="927" spans="1:12" x14ac:dyDescent="0.25">
      <c r="A927" s="1">
        <v>928</v>
      </c>
      <c r="B927" s="1">
        <v>21</v>
      </c>
      <c r="C927" s="3" t="s">
        <v>63</v>
      </c>
      <c r="D927" s="5" t="s">
        <v>22</v>
      </c>
      <c r="E927" s="10">
        <v>1.93</v>
      </c>
      <c r="F927" s="10">
        <v>7.35</v>
      </c>
      <c r="G927" s="10">
        <v>7.38</v>
      </c>
      <c r="H927" s="10">
        <v>1.74</v>
      </c>
      <c r="I927" s="8">
        <f t="shared" si="46"/>
        <v>2.37787704</v>
      </c>
      <c r="K927" s="8">
        <f t="shared" si="48"/>
        <v>17.381815998454535</v>
      </c>
      <c r="L927" s="8">
        <f t="shared" si="47"/>
        <v>8.6909079992272673</v>
      </c>
    </row>
    <row r="928" spans="1:12" x14ac:dyDescent="0.25">
      <c r="A928" s="1">
        <v>929</v>
      </c>
      <c r="B928" s="1">
        <v>22</v>
      </c>
      <c r="C928" s="3" t="s">
        <v>63</v>
      </c>
      <c r="D928" s="5" t="s">
        <v>22</v>
      </c>
      <c r="E928" s="10">
        <v>2</v>
      </c>
      <c r="F928" s="10">
        <v>10.62</v>
      </c>
      <c r="G928" s="10">
        <v>5.79</v>
      </c>
      <c r="H928" s="10">
        <v>1.9</v>
      </c>
      <c r="I928" s="8">
        <f t="shared" si="46"/>
        <v>2.8352939999999998</v>
      </c>
      <c r="K928" s="8">
        <f t="shared" si="48"/>
        <v>10.535328016120291</v>
      </c>
      <c r="L928" s="8">
        <f t="shared" si="47"/>
        <v>5.2676640080601453</v>
      </c>
    </row>
    <row r="929" spans="1:12" x14ac:dyDescent="0.25">
      <c r="A929" s="1">
        <v>930</v>
      </c>
      <c r="B929" s="1">
        <v>23</v>
      </c>
      <c r="C929" s="3" t="s">
        <v>63</v>
      </c>
      <c r="D929" s="5" t="s">
        <v>22</v>
      </c>
      <c r="E929" s="10">
        <v>2.34</v>
      </c>
      <c r="F929" s="10">
        <v>5.03</v>
      </c>
      <c r="G929" s="10">
        <v>3.36</v>
      </c>
      <c r="H929" s="10">
        <v>1.88</v>
      </c>
      <c r="I929" s="8">
        <f t="shared" si="46"/>
        <v>2.7759177599999996</v>
      </c>
      <c r="K929" s="8">
        <f t="shared" si="48"/>
        <v>3.4273775248412366</v>
      </c>
      <c r="L929" s="8">
        <f t="shared" si="47"/>
        <v>1.7136887624206183</v>
      </c>
    </row>
    <row r="930" spans="1:12" x14ac:dyDescent="0.25">
      <c r="A930" s="1">
        <v>931</v>
      </c>
      <c r="B930" s="1">
        <v>24</v>
      </c>
      <c r="C930" s="3" t="s">
        <v>63</v>
      </c>
      <c r="D930" s="5" t="s">
        <v>22</v>
      </c>
      <c r="E930" s="10">
        <v>2.39</v>
      </c>
      <c r="F930" s="10">
        <v>7.33</v>
      </c>
      <c r="G930" s="10">
        <v>6.37</v>
      </c>
      <c r="H930" s="10">
        <v>1.84</v>
      </c>
      <c r="I930" s="8">
        <f t="shared" si="46"/>
        <v>2.65905024</v>
      </c>
      <c r="K930" s="8">
        <f t="shared" si="48"/>
        <v>12.829288285620837</v>
      </c>
      <c r="L930" s="8">
        <f t="shared" si="47"/>
        <v>6.4146441428104186</v>
      </c>
    </row>
    <row r="931" spans="1:12" x14ac:dyDescent="0.25">
      <c r="A931" s="1">
        <v>932</v>
      </c>
      <c r="B931" s="1">
        <v>25</v>
      </c>
      <c r="C931" s="3" t="s">
        <v>63</v>
      </c>
      <c r="D931" s="5" t="s">
        <v>22</v>
      </c>
      <c r="E931" s="10">
        <v>1.55</v>
      </c>
      <c r="F931" s="10">
        <v>7.79</v>
      </c>
      <c r="G931" s="10">
        <v>8.75</v>
      </c>
      <c r="H931" s="10">
        <v>1.92</v>
      </c>
      <c r="I931" s="8">
        <f t="shared" si="46"/>
        <v>2.8952985600000001</v>
      </c>
      <c r="K931" s="8">
        <f t="shared" si="48"/>
        <v>24.69985837082659</v>
      </c>
      <c r="L931" s="8">
        <f t="shared" si="47"/>
        <v>12.349929185413295</v>
      </c>
    </row>
    <row r="932" spans="1:12" x14ac:dyDescent="0.25">
      <c r="A932" s="1">
        <v>933</v>
      </c>
      <c r="B932" s="1">
        <v>26</v>
      </c>
      <c r="C932" s="3" t="s">
        <v>63</v>
      </c>
      <c r="D932" s="5" t="s">
        <v>22</v>
      </c>
      <c r="E932" s="10">
        <v>1.67</v>
      </c>
      <c r="F932" s="10">
        <v>8.76</v>
      </c>
      <c r="G932" s="10">
        <v>4.05</v>
      </c>
      <c r="H932" s="10">
        <v>2.06</v>
      </c>
      <c r="I932" s="8">
        <f t="shared" si="46"/>
        <v>3.3329234399999996</v>
      </c>
      <c r="K932" s="8">
        <f t="shared" si="48"/>
        <v>5.0389991606024687</v>
      </c>
      <c r="L932" s="8">
        <f t="shared" si="47"/>
        <v>2.5194995803012343</v>
      </c>
    </row>
    <row r="933" spans="1:12" x14ac:dyDescent="0.25">
      <c r="A933" s="1">
        <v>934</v>
      </c>
      <c r="B933" s="1">
        <v>27</v>
      </c>
      <c r="C933" s="3" t="s">
        <v>63</v>
      </c>
      <c r="D933" s="5" t="s">
        <v>22</v>
      </c>
      <c r="E933" s="10">
        <v>1.1599999999999999</v>
      </c>
      <c r="F933" s="10">
        <v>11.44</v>
      </c>
      <c r="G933" s="10">
        <v>7.14</v>
      </c>
      <c r="H933" s="10">
        <v>1.78</v>
      </c>
      <c r="I933" s="8">
        <f t="shared" si="46"/>
        <v>2.4884613600000001</v>
      </c>
      <c r="K933" s="8">
        <f t="shared" si="48"/>
        <v>16.235553742706394</v>
      </c>
      <c r="L933" s="8">
        <f t="shared" si="47"/>
        <v>8.1177768713531968</v>
      </c>
    </row>
    <row r="934" spans="1:12" x14ac:dyDescent="0.25">
      <c r="A934" s="1">
        <v>935</v>
      </c>
      <c r="B934" s="1">
        <v>28</v>
      </c>
      <c r="C934" s="3" t="s">
        <v>63</v>
      </c>
      <c r="D934" s="5" t="s">
        <v>22</v>
      </c>
      <c r="E934" s="10">
        <v>1.8</v>
      </c>
      <c r="F934" s="10">
        <v>7.42</v>
      </c>
      <c r="G934" s="10">
        <v>4.21</v>
      </c>
      <c r="H934" s="10">
        <v>1.81</v>
      </c>
      <c r="I934" s="8">
        <f t="shared" si="46"/>
        <v>2.5730489400000001</v>
      </c>
      <c r="K934" s="8">
        <f t="shared" si="48"/>
        <v>5.4584200101404718</v>
      </c>
      <c r="L934" s="8">
        <f t="shared" si="47"/>
        <v>2.7292100050702359</v>
      </c>
    </row>
    <row r="935" spans="1:12" x14ac:dyDescent="0.25">
      <c r="A935" s="1">
        <v>936</v>
      </c>
      <c r="B935" s="1">
        <v>29</v>
      </c>
      <c r="C935" s="3" t="s">
        <v>63</v>
      </c>
      <c r="D935" s="5" t="s">
        <v>22</v>
      </c>
      <c r="E935" s="10">
        <v>1.27</v>
      </c>
      <c r="F935" s="10">
        <v>7.43</v>
      </c>
      <c r="G935" s="10">
        <v>6.21</v>
      </c>
      <c r="H935" s="10">
        <v>1.79</v>
      </c>
      <c r="I935" s="8">
        <f t="shared" si="46"/>
        <v>2.5165001399999998</v>
      </c>
      <c r="K935" s="8">
        <f t="shared" si="48"/>
        <v>12.173216964796378</v>
      </c>
      <c r="L935" s="8">
        <f t="shared" si="47"/>
        <v>6.086608482398189</v>
      </c>
    </row>
    <row r="936" spans="1:12" x14ac:dyDescent="0.25">
      <c r="A936" s="1">
        <v>937</v>
      </c>
      <c r="B936" s="1">
        <v>30</v>
      </c>
      <c r="C936" s="3" t="s">
        <v>63</v>
      </c>
      <c r="D936" s="5" t="s">
        <v>22</v>
      </c>
      <c r="E936" s="10">
        <v>1.64</v>
      </c>
      <c r="F936" s="10">
        <v>10.16</v>
      </c>
      <c r="G936" s="10">
        <v>3.58</v>
      </c>
      <c r="H936" s="10">
        <v>2.0299999999999998</v>
      </c>
      <c r="I936" s="8">
        <f t="shared" si="46"/>
        <v>3.2365548599999991</v>
      </c>
      <c r="K936" s="8">
        <f t="shared" si="48"/>
        <v>3.9065957304519769</v>
      </c>
      <c r="L936" s="8">
        <f t="shared" si="47"/>
        <v>1.9532978652259885</v>
      </c>
    </row>
    <row r="937" spans="1:12" x14ac:dyDescent="0.25">
      <c r="A937" s="1">
        <v>938</v>
      </c>
      <c r="B937" s="1">
        <v>31</v>
      </c>
      <c r="C937" s="3" t="s">
        <v>63</v>
      </c>
      <c r="D937" s="5" t="s">
        <v>22</v>
      </c>
      <c r="E937" s="10">
        <v>2.36</v>
      </c>
      <c r="F937" s="10">
        <v>8.17</v>
      </c>
      <c r="G937" s="10">
        <v>5.7</v>
      </c>
      <c r="H937" s="10">
        <v>1.92</v>
      </c>
      <c r="I937" s="8">
        <f t="shared" si="46"/>
        <v>2.8952985600000001</v>
      </c>
      <c r="K937" s="8">
        <f t="shared" si="48"/>
        <v>10.200198192245225</v>
      </c>
      <c r="L937" s="8">
        <f t="shared" si="47"/>
        <v>5.1000990961226123</v>
      </c>
    </row>
    <row r="938" spans="1:12" x14ac:dyDescent="0.25">
      <c r="A938" s="1">
        <v>939</v>
      </c>
      <c r="B938" s="1">
        <v>32</v>
      </c>
      <c r="C938" s="3" t="s">
        <v>63</v>
      </c>
      <c r="D938" s="5" t="s">
        <v>22</v>
      </c>
      <c r="E938" s="10">
        <v>1.29</v>
      </c>
      <c r="F938" s="10">
        <v>6.57</v>
      </c>
      <c r="G938" s="10">
        <v>7.54</v>
      </c>
      <c r="H938" s="10">
        <v>1.76</v>
      </c>
      <c r="I938" s="8">
        <f t="shared" si="46"/>
        <v>2.4328550399999997</v>
      </c>
      <c r="K938" s="8">
        <f t="shared" si="48"/>
        <v>18.168397279004878</v>
      </c>
      <c r="L938" s="8">
        <f t="shared" si="47"/>
        <v>9.0841986395024392</v>
      </c>
    </row>
    <row r="939" spans="1:12" x14ac:dyDescent="0.25">
      <c r="A939" s="1">
        <v>940</v>
      </c>
      <c r="B939" s="1">
        <v>33</v>
      </c>
      <c r="C939" s="3" t="s">
        <v>63</v>
      </c>
      <c r="D939" s="5" t="s">
        <v>22</v>
      </c>
      <c r="E939" s="10">
        <v>1.86</v>
      </c>
      <c r="F939" s="10">
        <v>8.17</v>
      </c>
      <c r="G939" s="10">
        <v>5.09</v>
      </c>
      <c r="H939" s="10">
        <v>1.77</v>
      </c>
      <c r="I939" s="8">
        <f t="shared" si="46"/>
        <v>2.4605796600000001</v>
      </c>
      <c r="K939" s="8">
        <f t="shared" si="48"/>
        <v>8.0755663453462585</v>
      </c>
      <c r="L939" s="8">
        <f t="shared" si="47"/>
        <v>4.0377831726731293</v>
      </c>
    </row>
    <row r="940" spans="1:12" x14ac:dyDescent="0.25">
      <c r="A940" s="1">
        <v>941</v>
      </c>
      <c r="B940" s="1">
        <v>34</v>
      </c>
      <c r="C940" s="3" t="s">
        <v>63</v>
      </c>
      <c r="D940" s="5" t="s">
        <v>22</v>
      </c>
      <c r="E940" s="10">
        <v>2.0699999999999998</v>
      </c>
      <c r="F940" s="10">
        <v>5.99</v>
      </c>
      <c r="G940" s="10">
        <v>6.99</v>
      </c>
      <c r="H940" s="10">
        <v>1.93</v>
      </c>
      <c r="I940" s="8">
        <f t="shared" si="46"/>
        <v>2.92553646</v>
      </c>
      <c r="K940" s="8">
        <f t="shared" si="48"/>
        <v>15.539587912696357</v>
      </c>
      <c r="L940" s="8">
        <f t="shared" si="47"/>
        <v>7.7697939563481784</v>
      </c>
    </row>
    <row r="941" spans="1:12" x14ac:dyDescent="0.25">
      <c r="A941" s="1">
        <v>942</v>
      </c>
      <c r="B941" s="1">
        <v>35</v>
      </c>
      <c r="C941" s="3" t="s">
        <v>63</v>
      </c>
      <c r="D941" s="5" t="s">
        <v>22</v>
      </c>
      <c r="E941" s="10">
        <v>1.18</v>
      </c>
      <c r="F941" s="10">
        <v>6.23</v>
      </c>
      <c r="G941" s="10">
        <v>7.77</v>
      </c>
      <c r="H941" s="10">
        <v>2</v>
      </c>
      <c r="I941" s="8">
        <f t="shared" si="46"/>
        <v>3.1415999999999999</v>
      </c>
      <c r="K941" s="8">
        <f t="shared" si="48"/>
        <v>19.330568115256945</v>
      </c>
      <c r="L941" s="8">
        <f t="shared" si="47"/>
        <v>9.6652840576284724</v>
      </c>
    </row>
    <row r="942" spans="1:12" x14ac:dyDescent="0.25">
      <c r="A942" s="1">
        <v>943</v>
      </c>
      <c r="B942" s="1">
        <v>36</v>
      </c>
      <c r="C942" s="3" t="s">
        <v>63</v>
      </c>
      <c r="D942" s="5" t="s">
        <v>22</v>
      </c>
      <c r="E942" s="10">
        <v>1.89</v>
      </c>
      <c r="F942" s="10">
        <v>8.49</v>
      </c>
      <c r="G942" s="10">
        <v>8.56</v>
      </c>
      <c r="H942" s="10">
        <v>2.0699999999999998</v>
      </c>
      <c r="I942" s="8">
        <f t="shared" si="46"/>
        <v>3.3653604599999993</v>
      </c>
      <c r="K942" s="8">
        <f t="shared" si="48"/>
        <v>23.605894346992759</v>
      </c>
      <c r="L942" s="8">
        <f t="shared" si="47"/>
        <v>11.80294717349638</v>
      </c>
    </row>
    <row r="943" spans="1:12" x14ac:dyDescent="0.25">
      <c r="A943" s="1">
        <v>944</v>
      </c>
      <c r="B943" s="1">
        <v>37</v>
      </c>
      <c r="C943" s="3" t="s">
        <v>63</v>
      </c>
      <c r="D943" s="5" t="s">
        <v>22</v>
      </c>
      <c r="E943" s="10">
        <v>1.34</v>
      </c>
      <c r="F943" s="10">
        <v>7.93</v>
      </c>
      <c r="G943" s="10">
        <v>4.41</v>
      </c>
      <c r="H943" s="10">
        <v>2.0099999999999998</v>
      </c>
      <c r="I943" s="8">
        <f t="shared" si="46"/>
        <v>3.1730945399999992</v>
      </c>
      <c r="K943" s="8">
        <f t="shared" si="48"/>
        <v>6.0070310247962313</v>
      </c>
      <c r="L943" s="8">
        <f t="shared" si="47"/>
        <v>3.0035155123981156</v>
      </c>
    </row>
    <row r="944" spans="1:12" x14ac:dyDescent="0.25">
      <c r="A944" s="1">
        <v>945</v>
      </c>
      <c r="B944" s="1">
        <v>38</v>
      </c>
      <c r="C944" s="3" t="s">
        <v>63</v>
      </c>
      <c r="D944" s="5" t="s">
        <v>22</v>
      </c>
      <c r="E944" s="10">
        <v>1.7</v>
      </c>
      <c r="F944" s="10">
        <v>11.4</v>
      </c>
      <c r="G944" s="10">
        <v>5.4</v>
      </c>
      <c r="H944" s="10">
        <v>1.88</v>
      </c>
      <c r="I944" s="8">
        <f t="shared" si="46"/>
        <v>2.7759177599999996</v>
      </c>
      <c r="K944" s="8">
        <f t="shared" si="48"/>
        <v>9.1233716992023695</v>
      </c>
      <c r="L944" s="8">
        <f t="shared" si="47"/>
        <v>4.5616858496011847</v>
      </c>
    </row>
    <row r="945" spans="1:12" x14ac:dyDescent="0.25">
      <c r="A945" s="1">
        <v>946</v>
      </c>
      <c r="B945" s="1">
        <v>39</v>
      </c>
      <c r="C945" s="3" t="s">
        <v>63</v>
      </c>
      <c r="D945" s="5" t="s">
        <v>22</v>
      </c>
      <c r="E945" s="10">
        <v>1.5</v>
      </c>
      <c r="F945" s="10">
        <v>7.54</v>
      </c>
      <c r="G945" s="10">
        <v>3.91</v>
      </c>
      <c r="H945" s="10">
        <v>1.71</v>
      </c>
      <c r="I945" s="8">
        <f t="shared" si="46"/>
        <v>2.2965881399999999</v>
      </c>
      <c r="K945" s="8">
        <f t="shared" si="48"/>
        <v>4.6861650911010058</v>
      </c>
      <c r="L945" s="8">
        <f t="shared" si="47"/>
        <v>2.3430825455505029</v>
      </c>
    </row>
    <row r="946" spans="1:12" x14ac:dyDescent="0.25">
      <c r="A946" s="1">
        <v>947</v>
      </c>
      <c r="B946" s="1">
        <v>40</v>
      </c>
      <c r="C946" s="3" t="s">
        <v>63</v>
      </c>
      <c r="D946" s="5" t="s">
        <v>22</v>
      </c>
      <c r="E946" s="10">
        <v>1.93</v>
      </c>
      <c r="F946" s="10">
        <v>9.06</v>
      </c>
      <c r="G946" s="10">
        <v>8.9499999999999993</v>
      </c>
      <c r="H946" s="10">
        <v>2.0499999999999998</v>
      </c>
      <c r="I946" s="8">
        <f t="shared" si="46"/>
        <v>3.3006434999999996</v>
      </c>
      <c r="K946" s="8">
        <f t="shared" si="48"/>
        <v>25.879011226164575</v>
      </c>
      <c r="L946" s="8">
        <f t="shared" si="47"/>
        <v>12.939505613082288</v>
      </c>
    </row>
    <row r="947" spans="1:12" x14ac:dyDescent="0.25">
      <c r="A947" s="1">
        <v>948</v>
      </c>
      <c r="B947" s="1">
        <v>41</v>
      </c>
      <c r="C947" s="3" t="s">
        <v>63</v>
      </c>
      <c r="D947" s="5" t="s">
        <v>22</v>
      </c>
      <c r="E947" s="10">
        <v>1.21</v>
      </c>
      <c r="F947" s="10">
        <v>9.43</v>
      </c>
      <c r="G947" s="10">
        <v>8.56</v>
      </c>
      <c r="H947" s="10">
        <v>2.09</v>
      </c>
      <c r="I947" s="8">
        <f t="shared" si="46"/>
        <v>3.4307057399999992</v>
      </c>
      <c r="K947" s="8">
        <f t="shared" si="48"/>
        <v>23.605894346992759</v>
      </c>
      <c r="L947" s="8">
        <f t="shared" si="47"/>
        <v>11.80294717349638</v>
      </c>
    </row>
    <row r="948" spans="1:12" x14ac:dyDescent="0.25">
      <c r="A948" s="1">
        <v>949</v>
      </c>
      <c r="B948" s="1">
        <v>42</v>
      </c>
      <c r="C948" s="3" t="s">
        <v>63</v>
      </c>
      <c r="D948" s="5" t="s">
        <v>22</v>
      </c>
      <c r="E948" s="10">
        <v>2.38</v>
      </c>
      <c r="F948" s="10">
        <v>5.09</v>
      </c>
      <c r="G948" s="10">
        <v>6.24</v>
      </c>
      <c r="H948" s="10">
        <v>2</v>
      </c>
      <c r="I948" s="8">
        <f t="shared" si="46"/>
        <v>3.1415999999999999</v>
      </c>
      <c r="K948" s="8">
        <f t="shared" si="48"/>
        <v>12.294878644105678</v>
      </c>
      <c r="L948" s="8">
        <f t="shared" si="47"/>
        <v>6.1474393220528389</v>
      </c>
    </row>
    <row r="949" spans="1:12" x14ac:dyDescent="0.25">
      <c r="A949" s="1">
        <v>950</v>
      </c>
      <c r="B949" s="1">
        <v>43</v>
      </c>
      <c r="C949" s="3" t="s">
        <v>63</v>
      </c>
      <c r="D949" s="5" t="s">
        <v>22</v>
      </c>
      <c r="E949" s="10">
        <v>1.32</v>
      </c>
      <c r="F949" s="10">
        <v>9.64</v>
      </c>
      <c r="G949" s="10">
        <v>8.0500000000000007</v>
      </c>
      <c r="H949" s="10">
        <v>1.78</v>
      </c>
      <c r="I949" s="8">
        <f t="shared" si="46"/>
        <v>2.4884613600000001</v>
      </c>
      <c r="K949" s="8">
        <f t="shared" si="48"/>
        <v>20.795561189807074</v>
      </c>
      <c r="L949" s="8">
        <f t="shared" si="47"/>
        <v>10.397780594903537</v>
      </c>
    </row>
    <row r="950" spans="1:12" x14ac:dyDescent="0.25">
      <c r="A950" s="1">
        <v>951</v>
      </c>
      <c r="B950" s="1">
        <v>44</v>
      </c>
      <c r="C950" s="3" t="s">
        <v>63</v>
      </c>
      <c r="D950" s="5" t="s">
        <v>22</v>
      </c>
      <c r="E950" s="10">
        <v>1.36</v>
      </c>
      <c r="F950" s="10">
        <v>6.25</v>
      </c>
      <c r="G950" s="10">
        <v>6.13</v>
      </c>
      <c r="H950" s="10">
        <v>1.73</v>
      </c>
      <c r="I950" s="8">
        <f t="shared" si="46"/>
        <v>2.3506236600000001</v>
      </c>
      <c r="K950" s="8">
        <f t="shared" si="48"/>
        <v>11.851833311526814</v>
      </c>
      <c r="L950" s="8">
        <f t="shared" si="47"/>
        <v>5.9259166557634071</v>
      </c>
    </row>
    <row r="951" spans="1:12" x14ac:dyDescent="0.25">
      <c r="A951" s="1">
        <v>952</v>
      </c>
      <c r="B951" s="1">
        <v>45</v>
      </c>
      <c r="C951" s="3" t="s">
        <v>63</v>
      </c>
      <c r="D951" s="5" t="s">
        <v>22</v>
      </c>
      <c r="E951" s="10">
        <v>1.23</v>
      </c>
      <c r="F951" s="10">
        <v>11.73</v>
      </c>
      <c r="G951" s="10">
        <v>6.74</v>
      </c>
      <c r="H951" s="10">
        <v>2.0699999999999998</v>
      </c>
      <c r="I951" s="8">
        <f t="shared" si="46"/>
        <v>3.3653604599999993</v>
      </c>
      <c r="K951" s="8">
        <f t="shared" si="48"/>
        <v>14.414531850509796</v>
      </c>
      <c r="L951" s="8">
        <f t="shared" si="47"/>
        <v>7.2072659252548981</v>
      </c>
    </row>
    <row r="952" spans="1:12" x14ac:dyDescent="0.25">
      <c r="A952" s="1">
        <v>953</v>
      </c>
      <c r="B952" s="1">
        <v>46</v>
      </c>
      <c r="C952" s="3" t="s">
        <v>63</v>
      </c>
      <c r="D952" s="5" t="s">
        <v>22</v>
      </c>
      <c r="E952" s="10">
        <v>1.17</v>
      </c>
      <c r="F952" s="10">
        <v>6.04</v>
      </c>
      <c r="G952" s="10">
        <v>3.53</v>
      </c>
      <c r="H952" s="10">
        <v>2.09</v>
      </c>
      <c r="I952" s="8">
        <f t="shared" si="46"/>
        <v>3.4307057399999992</v>
      </c>
      <c r="K952" s="8">
        <f t="shared" si="48"/>
        <v>3.7948441986314729</v>
      </c>
      <c r="L952" s="8">
        <f t="shared" si="47"/>
        <v>1.8974220993157365</v>
      </c>
    </row>
    <row r="953" spans="1:12" x14ac:dyDescent="0.25">
      <c r="A953" s="1">
        <v>954</v>
      </c>
      <c r="B953" s="1">
        <v>47</v>
      </c>
      <c r="C953" s="3" t="s">
        <v>63</v>
      </c>
      <c r="D953" s="5" t="s">
        <v>22</v>
      </c>
      <c r="E953" s="10">
        <v>2.1800000000000002</v>
      </c>
      <c r="F953" s="10">
        <v>7.9</v>
      </c>
      <c r="G953" s="10">
        <v>7.53</v>
      </c>
      <c r="H953" s="10">
        <v>2.09</v>
      </c>
      <c r="I953" s="8">
        <f t="shared" si="46"/>
        <v>3.4307057399999992</v>
      </c>
      <c r="K953" s="8">
        <f t="shared" si="48"/>
        <v>18.118710211652342</v>
      </c>
      <c r="L953" s="8">
        <f t="shared" si="47"/>
        <v>9.059355105826171</v>
      </c>
    </row>
    <row r="954" spans="1:12" x14ac:dyDescent="0.25">
      <c r="A954" s="1">
        <v>955</v>
      </c>
      <c r="B954" s="1">
        <v>48</v>
      </c>
      <c r="C954" s="3" t="s">
        <v>63</v>
      </c>
      <c r="D954" s="5" t="s">
        <v>22</v>
      </c>
      <c r="E954" s="10">
        <v>1.33</v>
      </c>
      <c r="F954" s="10">
        <v>5.6</v>
      </c>
      <c r="G954" s="10">
        <v>3.77</v>
      </c>
      <c r="H954" s="10">
        <v>1.88</v>
      </c>
      <c r="I954" s="8">
        <f t="shared" si="46"/>
        <v>2.7759177599999996</v>
      </c>
      <c r="K954" s="8">
        <f t="shared" si="48"/>
        <v>4.3465153905747895</v>
      </c>
      <c r="L954" s="8">
        <f t="shared" si="47"/>
        <v>2.1732576952873948</v>
      </c>
    </row>
    <row r="955" spans="1:12" x14ac:dyDescent="0.25">
      <c r="A955" s="1">
        <v>956</v>
      </c>
      <c r="B955" s="1">
        <v>49</v>
      </c>
      <c r="C955" s="3" t="s">
        <v>63</v>
      </c>
      <c r="D955" s="5" t="s">
        <v>22</v>
      </c>
      <c r="E955" s="10">
        <v>1.93</v>
      </c>
      <c r="F955" s="10">
        <v>11.98</v>
      </c>
      <c r="G955" s="10">
        <v>7.96</v>
      </c>
      <c r="H955" s="10">
        <v>2.0499999999999998</v>
      </c>
      <c r="I955" s="8">
        <f t="shared" si="46"/>
        <v>3.3006434999999996</v>
      </c>
      <c r="K955" s="8">
        <f t="shared" si="48"/>
        <v>20.31865521454721</v>
      </c>
      <c r="L955" s="8">
        <f t="shared" si="47"/>
        <v>10.159327607273605</v>
      </c>
    </row>
    <row r="956" spans="1:12" x14ac:dyDescent="0.25">
      <c r="A956" s="1">
        <v>957</v>
      </c>
      <c r="B956" s="1">
        <v>50</v>
      </c>
      <c r="C956" s="3" t="s">
        <v>63</v>
      </c>
      <c r="D956" s="5" t="s">
        <v>22</v>
      </c>
      <c r="E956" s="10">
        <v>1.96</v>
      </c>
      <c r="F956" s="10">
        <v>8.52</v>
      </c>
      <c r="G956" s="10">
        <v>7.69</v>
      </c>
      <c r="H956" s="10">
        <v>2.0299999999999998</v>
      </c>
      <c r="I956" s="8">
        <f t="shared" si="46"/>
        <v>3.2365548599999991</v>
      </c>
      <c r="K956" s="8">
        <f t="shared" si="48"/>
        <v>18.922122415074686</v>
      </c>
      <c r="L956" s="8">
        <f t="shared" si="47"/>
        <v>9.4610612075373428</v>
      </c>
    </row>
    <row r="957" spans="1:12" x14ac:dyDescent="0.25">
      <c r="A957" s="1">
        <v>958</v>
      </c>
      <c r="B957" s="1">
        <v>51</v>
      </c>
      <c r="C957" s="3" t="s">
        <v>63</v>
      </c>
      <c r="D957" s="5" t="s">
        <v>22</v>
      </c>
      <c r="E957" s="10">
        <v>1.65</v>
      </c>
      <c r="F957" s="10">
        <v>9.17</v>
      </c>
      <c r="G957" s="10">
        <v>7.25</v>
      </c>
      <c r="H957" s="10">
        <v>1.74</v>
      </c>
      <c r="I957" s="8">
        <f t="shared" si="46"/>
        <v>2.37787704</v>
      </c>
      <c r="K957" s="8">
        <f t="shared" si="48"/>
        <v>16.755921696910974</v>
      </c>
      <c r="L957" s="8">
        <f t="shared" si="47"/>
        <v>8.3779608484554871</v>
      </c>
    </row>
    <row r="958" spans="1:12" x14ac:dyDescent="0.25">
      <c r="A958" s="1">
        <v>959</v>
      </c>
      <c r="B958" s="1">
        <v>52</v>
      </c>
      <c r="C958" s="3" t="s">
        <v>63</v>
      </c>
      <c r="D958" s="5" t="s">
        <v>22</v>
      </c>
      <c r="E958" s="10">
        <v>1.36</v>
      </c>
      <c r="F958" s="10">
        <v>5.47</v>
      </c>
      <c r="G958" s="10">
        <v>3.22</v>
      </c>
      <c r="H958" s="10">
        <v>1.94</v>
      </c>
      <c r="I958" s="8">
        <f t="shared" si="46"/>
        <v>2.9559314399999996</v>
      </c>
      <c r="K958" s="8">
        <f t="shared" si="48"/>
        <v>3.1392177176505425</v>
      </c>
      <c r="L958" s="8">
        <f t="shared" si="47"/>
        <v>1.5696088588252712</v>
      </c>
    </row>
    <row r="959" spans="1:12" x14ac:dyDescent="0.25">
      <c r="A959" s="1">
        <v>960</v>
      </c>
      <c r="B959" s="1">
        <v>53</v>
      </c>
      <c r="C959" s="3" t="s">
        <v>63</v>
      </c>
      <c r="D959" s="5" t="s">
        <v>22</v>
      </c>
      <c r="E959" s="10">
        <v>1.22</v>
      </c>
      <c r="F959" s="10">
        <v>10.25</v>
      </c>
      <c r="G959" s="10">
        <v>4.82</v>
      </c>
      <c r="H959" s="10">
        <v>1.82</v>
      </c>
      <c r="I959" s="8">
        <f t="shared" si="46"/>
        <v>2.6015589600000002</v>
      </c>
      <c r="K959" s="8">
        <f t="shared" si="48"/>
        <v>7.2165297945497864</v>
      </c>
      <c r="L959" s="8">
        <f t="shared" si="47"/>
        <v>3.6082648972748932</v>
      </c>
    </row>
    <row r="960" spans="1:12" x14ac:dyDescent="0.25">
      <c r="A960" s="1">
        <v>961</v>
      </c>
      <c r="B960" s="1">
        <v>54</v>
      </c>
      <c r="C960" s="3" t="s">
        <v>63</v>
      </c>
      <c r="D960" s="5" t="s">
        <v>22</v>
      </c>
      <c r="E960" s="10">
        <v>1.17</v>
      </c>
      <c r="F960" s="10">
        <v>6.47</v>
      </c>
      <c r="G960" s="10">
        <v>4.58</v>
      </c>
      <c r="H960" s="10">
        <v>1.74</v>
      </c>
      <c r="I960" s="8">
        <f t="shared" si="46"/>
        <v>2.37787704</v>
      </c>
      <c r="K960" s="8">
        <f t="shared" si="48"/>
        <v>6.494665070845147</v>
      </c>
      <c r="L960" s="8">
        <f t="shared" si="47"/>
        <v>3.2473325354225735</v>
      </c>
    </row>
    <row r="961" spans="1:12" x14ac:dyDescent="0.25">
      <c r="A961" s="1">
        <v>962</v>
      </c>
      <c r="B961" s="1">
        <v>55</v>
      </c>
      <c r="C961" s="3" t="s">
        <v>63</v>
      </c>
      <c r="D961" s="5" t="s">
        <v>22</v>
      </c>
      <c r="E961" s="10">
        <v>1.26</v>
      </c>
      <c r="F961" s="10">
        <v>11.29</v>
      </c>
      <c r="G961" s="10">
        <v>5.16</v>
      </c>
      <c r="H961" s="10">
        <v>2.0299999999999998</v>
      </c>
      <c r="I961" s="8">
        <f t="shared" ref="I961:I1024" si="49">0.7854*H961^2</f>
        <v>3.2365548599999991</v>
      </c>
      <c r="K961" s="8">
        <f t="shared" si="48"/>
        <v>8.3064126980700017</v>
      </c>
      <c r="L961" s="8">
        <f t="shared" ref="L961:L1024" si="50">K961*0.5</f>
        <v>4.1532063490350009</v>
      </c>
    </row>
    <row r="962" spans="1:12" x14ac:dyDescent="0.25">
      <c r="A962" s="1">
        <v>963</v>
      </c>
      <c r="B962" s="1">
        <v>56</v>
      </c>
      <c r="C962" s="3" t="s">
        <v>63</v>
      </c>
      <c r="D962" s="5" t="s">
        <v>22</v>
      </c>
      <c r="E962" s="10">
        <v>1.1200000000000001</v>
      </c>
      <c r="F962" s="10">
        <v>6.44</v>
      </c>
      <c r="G962" s="10">
        <v>3.53</v>
      </c>
      <c r="H962" s="10">
        <v>1.76</v>
      </c>
      <c r="I962" s="8">
        <f t="shared" si="49"/>
        <v>2.4328550399999997</v>
      </c>
      <c r="K962" s="8">
        <f t="shared" si="48"/>
        <v>3.7948441986314729</v>
      </c>
      <c r="L962" s="8">
        <f t="shared" si="50"/>
        <v>1.8974220993157365</v>
      </c>
    </row>
    <row r="963" spans="1:12" x14ac:dyDescent="0.25">
      <c r="A963" s="1">
        <v>964</v>
      </c>
      <c r="B963" s="1">
        <v>57</v>
      </c>
      <c r="C963" s="3" t="s">
        <v>63</v>
      </c>
      <c r="D963" s="5" t="s">
        <v>22</v>
      </c>
      <c r="E963" s="10">
        <v>1.97</v>
      </c>
      <c r="F963" s="10">
        <v>6.33</v>
      </c>
      <c r="G963" s="10">
        <v>8.6199999999999992</v>
      </c>
      <c r="H963" s="10">
        <v>2.06</v>
      </c>
      <c r="I963" s="8">
        <f t="shared" si="49"/>
        <v>3.3329234399999996</v>
      </c>
      <c r="K963" s="8">
        <f t="shared" si="48"/>
        <v>23.948597703926112</v>
      </c>
      <c r="L963" s="8">
        <f t="shared" si="50"/>
        <v>11.974298851963056</v>
      </c>
    </row>
    <row r="964" spans="1:12" x14ac:dyDescent="0.25">
      <c r="A964" s="1">
        <v>965</v>
      </c>
      <c r="B964" s="1">
        <v>58</v>
      </c>
      <c r="C964" s="3" t="s">
        <v>63</v>
      </c>
      <c r="D964" s="5" t="s">
        <v>22</v>
      </c>
      <c r="E964" s="10">
        <v>2.09</v>
      </c>
      <c r="F964" s="10">
        <v>5.26</v>
      </c>
      <c r="G964" s="10">
        <v>6.32</v>
      </c>
      <c r="H964" s="10">
        <v>1.94</v>
      </c>
      <c r="I964" s="8">
        <f t="shared" si="49"/>
        <v>2.9559314399999996</v>
      </c>
      <c r="K964" s="8">
        <f t="shared" si="48"/>
        <v>12.622359250001441</v>
      </c>
      <c r="L964" s="8">
        <f t="shared" si="50"/>
        <v>6.3111796250007206</v>
      </c>
    </row>
    <row r="965" spans="1:12" x14ac:dyDescent="0.25">
      <c r="A965" s="1">
        <v>966</v>
      </c>
      <c r="B965" s="1">
        <v>59</v>
      </c>
      <c r="C965" s="3" t="s">
        <v>63</v>
      </c>
      <c r="D965" s="5" t="s">
        <v>22</v>
      </c>
      <c r="E965" s="10">
        <v>1.31</v>
      </c>
      <c r="F965" s="10">
        <v>8.3000000000000007</v>
      </c>
      <c r="G965" s="10">
        <v>4.83</v>
      </c>
      <c r="H965" s="10">
        <v>1.75</v>
      </c>
      <c r="I965" s="8">
        <f t="shared" si="49"/>
        <v>2.4052875</v>
      </c>
      <c r="K965" s="8">
        <f t="shared" si="48"/>
        <v>7.2474587121416629</v>
      </c>
      <c r="L965" s="8">
        <f t="shared" si="50"/>
        <v>3.6237293560708315</v>
      </c>
    </row>
    <row r="966" spans="1:12" x14ac:dyDescent="0.25">
      <c r="A966" s="1">
        <v>967</v>
      </c>
      <c r="B966" s="1">
        <v>60</v>
      </c>
      <c r="C966" s="3" t="s">
        <v>63</v>
      </c>
      <c r="D966" s="5" t="s">
        <v>22</v>
      </c>
      <c r="E966" s="10">
        <v>1.1299999999999999</v>
      </c>
      <c r="F966" s="10">
        <v>8.9499999999999993</v>
      </c>
      <c r="G966" s="10">
        <v>5.38</v>
      </c>
      <c r="H966" s="10">
        <v>1.96</v>
      </c>
      <c r="I966" s="8">
        <f t="shared" si="49"/>
        <v>3.0171926399999998</v>
      </c>
      <c r="K966" s="8">
        <f t="shared" si="48"/>
        <v>9.0537827973626293</v>
      </c>
      <c r="L966" s="8">
        <f t="shared" si="50"/>
        <v>4.5268913986813146</v>
      </c>
    </row>
    <row r="967" spans="1:12" x14ac:dyDescent="0.25">
      <c r="A967" s="1">
        <v>968</v>
      </c>
      <c r="B967" s="1">
        <v>61</v>
      </c>
      <c r="C967" s="3" t="s">
        <v>63</v>
      </c>
      <c r="D967" s="5" t="s">
        <v>22</v>
      </c>
      <c r="E967" s="10">
        <v>1.89</v>
      </c>
      <c r="F967" s="10">
        <v>5.46</v>
      </c>
      <c r="G967" s="10">
        <v>5.68</v>
      </c>
      <c r="H967" s="10">
        <v>2.06</v>
      </c>
      <c r="I967" s="8">
        <f t="shared" si="49"/>
        <v>3.3329234399999996</v>
      </c>
      <c r="K967" s="8">
        <f t="shared" si="48"/>
        <v>10.126482962250186</v>
      </c>
      <c r="L967" s="8">
        <f t="shared" si="50"/>
        <v>5.0632414811250932</v>
      </c>
    </row>
    <row r="968" spans="1:12" x14ac:dyDescent="0.25">
      <c r="A968" s="1">
        <v>969</v>
      </c>
      <c r="B968" s="1">
        <v>62</v>
      </c>
      <c r="C968" s="3" t="s">
        <v>63</v>
      </c>
      <c r="D968" s="5" t="s">
        <v>22</v>
      </c>
      <c r="E968" s="10">
        <v>2.15</v>
      </c>
      <c r="F968" s="10">
        <v>10.43</v>
      </c>
      <c r="G968" s="10">
        <v>6.6</v>
      </c>
      <c r="H968" s="10">
        <v>2.0299999999999998</v>
      </c>
      <c r="I968" s="8">
        <f t="shared" si="49"/>
        <v>3.2365548599999991</v>
      </c>
      <c r="K968" s="8">
        <f t="shared" si="48"/>
        <v>13.803517068231875</v>
      </c>
      <c r="L968" s="8">
        <f t="shared" si="50"/>
        <v>6.9017585341159373</v>
      </c>
    </row>
    <row r="969" spans="1:12" x14ac:dyDescent="0.25">
      <c r="A969" s="1">
        <v>970</v>
      </c>
      <c r="B969" s="1">
        <v>63</v>
      </c>
      <c r="C969" s="3" t="s">
        <v>63</v>
      </c>
      <c r="D969" s="5" t="s">
        <v>22</v>
      </c>
      <c r="E969" s="10">
        <v>1.1100000000000001</v>
      </c>
      <c r="F969" s="10">
        <v>8.17</v>
      </c>
      <c r="G969" s="10">
        <v>6.09</v>
      </c>
      <c r="H969" s="10">
        <v>1.75</v>
      </c>
      <c r="I969" s="8">
        <f t="shared" si="49"/>
        <v>2.4052875</v>
      </c>
      <c r="K969" s="8">
        <f t="shared" si="48"/>
        <v>11.692802897497234</v>
      </c>
      <c r="L969" s="8">
        <f t="shared" si="50"/>
        <v>5.8464014487486171</v>
      </c>
    </row>
    <row r="970" spans="1:12" x14ac:dyDescent="0.25">
      <c r="A970" s="1">
        <v>971</v>
      </c>
      <c r="B970" s="1">
        <v>64</v>
      </c>
      <c r="C970" s="3" t="s">
        <v>63</v>
      </c>
      <c r="D970" s="5" t="s">
        <v>22</v>
      </c>
      <c r="E970" s="10">
        <v>1.82</v>
      </c>
      <c r="F970" s="10">
        <v>8.67</v>
      </c>
      <c r="G970" s="10">
        <v>8.52</v>
      </c>
      <c r="H970" s="10">
        <v>1.87</v>
      </c>
      <c r="I970" s="8">
        <f t="shared" si="49"/>
        <v>2.7464652600000004</v>
      </c>
      <c r="K970" s="8">
        <f t="shared" si="48"/>
        <v>23.378839497326044</v>
      </c>
      <c r="L970" s="8">
        <f t="shared" si="50"/>
        <v>11.689419748663022</v>
      </c>
    </row>
    <row r="971" spans="1:12" x14ac:dyDescent="0.25">
      <c r="A971" s="1">
        <v>972</v>
      </c>
      <c r="B971" s="1">
        <v>65</v>
      </c>
      <c r="C971" s="3" t="s">
        <v>63</v>
      </c>
      <c r="D971" s="5" t="s">
        <v>22</v>
      </c>
      <c r="E971" s="10">
        <v>1.66</v>
      </c>
      <c r="F971" s="10">
        <v>8.09</v>
      </c>
      <c r="G971" s="10">
        <v>5.98</v>
      </c>
      <c r="H971" s="10">
        <v>1.97</v>
      </c>
      <c r="I971" s="8">
        <f t="shared" si="49"/>
        <v>3.0480588599999998</v>
      </c>
      <c r="K971" s="8">
        <f t="shared" si="48"/>
        <v>11.261175810425993</v>
      </c>
      <c r="L971" s="8">
        <f t="shared" si="50"/>
        <v>5.6305879052129963</v>
      </c>
    </row>
    <row r="972" spans="1:12" x14ac:dyDescent="0.25">
      <c r="A972" s="1">
        <v>973</v>
      </c>
      <c r="B972" s="1">
        <v>66</v>
      </c>
      <c r="C972" s="3" t="s">
        <v>63</v>
      </c>
      <c r="D972" s="5" t="s">
        <v>22</v>
      </c>
      <c r="E972" s="10">
        <v>1.81</v>
      </c>
      <c r="F972" s="10">
        <v>7.81</v>
      </c>
      <c r="G972" s="10">
        <v>8.9499999999999993</v>
      </c>
      <c r="H972" s="10">
        <v>1.67</v>
      </c>
      <c r="I972" s="8">
        <f t="shared" si="49"/>
        <v>2.1904020599999998</v>
      </c>
      <c r="K972" s="8">
        <f t="shared" ref="K972:K1035" si="51">0.2811*G972^2.0635</f>
        <v>25.879011226164575</v>
      </c>
      <c r="L972" s="8">
        <f t="shared" si="50"/>
        <v>12.939505613082288</v>
      </c>
    </row>
    <row r="973" spans="1:12" x14ac:dyDescent="0.25">
      <c r="A973" s="1">
        <v>974</v>
      </c>
      <c r="B973" s="1">
        <v>67</v>
      </c>
      <c r="C973" s="3" t="s">
        <v>63</v>
      </c>
      <c r="D973" s="5" t="s">
        <v>22</v>
      </c>
      <c r="E973" s="10">
        <v>2.2799999999999998</v>
      </c>
      <c r="F973" s="10">
        <v>8.92</v>
      </c>
      <c r="G973" s="10">
        <v>8.11</v>
      </c>
      <c r="H973" s="10">
        <v>1.86</v>
      </c>
      <c r="I973" s="8">
        <f t="shared" si="49"/>
        <v>2.7171698400000004</v>
      </c>
      <c r="K973" s="8">
        <f t="shared" si="51"/>
        <v>21.116667336319214</v>
      </c>
      <c r="L973" s="8">
        <f t="shared" si="50"/>
        <v>10.558333668159607</v>
      </c>
    </row>
    <row r="974" spans="1:12" x14ac:dyDescent="0.25">
      <c r="A974" s="1">
        <v>975</v>
      </c>
      <c r="B974" s="1">
        <v>68</v>
      </c>
      <c r="C974" s="3" t="s">
        <v>63</v>
      </c>
      <c r="D974" s="5" t="s">
        <v>22</v>
      </c>
      <c r="E974" s="10">
        <v>1.66</v>
      </c>
      <c r="F974" s="10">
        <v>6.09</v>
      </c>
      <c r="G974" s="10">
        <v>4.25</v>
      </c>
      <c r="H974" s="10">
        <v>1.87</v>
      </c>
      <c r="I974" s="8">
        <f t="shared" si="49"/>
        <v>2.7464652600000004</v>
      </c>
      <c r="K974" s="8">
        <f t="shared" si="51"/>
        <v>5.5659769407540702</v>
      </c>
      <c r="L974" s="8">
        <f t="shared" si="50"/>
        <v>2.7829884703770351</v>
      </c>
    </row>
    <row r="975" spans="1:12" x14ac:dyDescent="0.25">
      <c r="A975" s="1">
        <v>976</v>
      </c>
      <c r="B975" s="1">
        <v>69</v>
      </c>
      <c r="C975" s="3" t="s">
        <v>63</v>
      </c>
      <c r="D975" s="5" t="s">
        <v>22</v>
      </c>
      <c r="E975" s="10">
        <v>1.88</v>
      </c>
      <c r="F975" s="10">
        <v>6.27</v>
      </c>
      <c r="G975" s="10">
        <v>8.58</v>
      </c>
      <c r="H975" s="10">
        <v>2.1</v>
      </c>
      <c r="I975" s="8">
        <f t="shared" si="49"/>
        <v>3.4636140000000002</v>
      </c>
      <c r="K975" s="8">
        <f t="shared" si="51"/>
        <v>23.719845946401467</v>
      </c>
      <c r="L975" s="8">
        <f t="shared" si="50"/>
        <v>11.859922973200733</v>
      </c>
    </row>
    <row r="976" spans="1:12" x14ac:dyDescent="0.25">
      <c r="A976" s="1">
        <v>977</v>
      </c>
      <c r="B976" s="1">
        <v>70</v>
      </c>
      <c r="C976" s="3" t="s">
        <v>63</v>
      </c>
      <c r="D976" s="5" t="s">
        <v>22</v>
      </c>
      <c r="E976" s="10">
        <v>1.44</v>
      </c>
      <c r="F976" s="10">
        <v>11.03</v>
      </c>
      <c r="G976" s="10">
        <v>3.7</v>
      </c>
      <c r="H976" s="10">
        <v>2.06</v>
      </c>
      <c r="I976" s="8">
        <f t="shared" si="49"/>
        <v>3.3329234399999996</v>
      </c>
      <c r="K976" s="8">
        <f t="shared" si="51"/>
        <v>4.1816251894568666</v>
      </c>
      <c r="L976" s="8">
        <f t="shared" si="50"/>
        <v>2.0908125947284333</v>
      </c>
    </row>
    <row r="977" spans="1:12" x14ac:dyDescent="0.25">
      <c r="A977" s="1">
        <v>978</v>
      </c>
      <c r="B977" s="1">
        <v>71</v>
      </c>
      <c r="C977" s="3" t="s">
        <v>63</v>
      </c>
      <c r="D977" s="5" t="s">
        <v>22</v>
      </c>
      <c r="E977" s="10">
        <v>1.43</v>
      </c>
      <c r="F977" s="10">
        <v>11.62</v>
      </c>
      <c r="G977" s="10">
        <v>7.9</v>
      </c>
      <c r="H977" s="10">
        <v>1.94</v>
      </c>
      <c r="I977" s="8">
        <f t="shared" si="49"/>
        <v>2.9559314399999996</v>
      </c>
      <c r="K977" s="8">
        <f t="shared" si="51"/>
        <v>20.003884968252478</v>
      </c>
      <c r="L977" s="8">
        <f t="shared" si="50"/>
        <v>10.001942484126239</v>
      </c>
    </row>
    <row r="978" spans="1:12" x14ac:dyDescent="0.25">
      <c r="A978" s="1">
        <v>979</v>
      </c>
      <c r="B978" s="1">
        <v>72</v>
      </c>
      <c r="C978" s="3" t="s">
        <v>63</v>
      </c>
      <c r="D978" s="5" t="s">
        <v>22</v>
      </c>
      <c r="E978" s="10">
        <v>1.62</v>
      </c>
      <c r="F978" s="10">
        <v>7.61</v>
      </c>
      <c r="G978" s="10">
        <v>5.28</v>
      </c>
      <c r="H978" s="10">
        <v>1.74</v>
      </c>
      <c r="I978" s="8">
        <f t="shared" si="49"/>
        <v>2.37787704</v>
      </c>
      <c r="K978" s="8">
        <f t="shared" si="51"/>
        <v>8.709955672374095</v>
      </c>
      <c r="L978" s="8">
        <f t="shared" si="50"/>
        <v>4.3549778361870475</v>
      </c>
    </row>
    <row r="979" spans="1:12" x14ac:dyDescent="0.25">
      <c r="A979" s="1">
        <v>980</v>
      </c>
      <c r="B979" s="1">
        <v>73</v>
      </c>
      <c r="C979" s="3" t="s">
        <v>63</v>
      </c>
      <c r="D979" s="5" t="s">
        <v>22</v>
      </c>
      <c r="E979" s="10">
        <v>1.72</v>
      </c>
      <c r="F979" s="10">
        <v>6.9</v>
      </c>
      <c r="G979" s="10">
        <v>8.27</v>
      </c>
      <c r="H979" s="10">
        <v>2.08</v>
      </c>
      <c r="I979" s="8">
        <f t="shared" si="49"/>
        <v>3.3979545600000005</v>
      </c>
      <c r="K979" s="8">
        <f t="shared" si="51"/>
        <v>21.985354086501786</v>
      </c>
      <c r="L979" s="8">
        <f t="shared" si="50"/>
        <v>10.992677043250893</v>
      </c>
    </row>
    <row r="980" spans="1:12" x14ac:dyDescent="0.25">
      <c r="A980" s="1">
        <v>981</v>
      </c>
      <c r="B980" s="1">
        <v>74</v>
      </c>
      <c r="C980" s="3" t="s">
        <v>63</v>
      </c>
      <c r="D980" s="5" t="s">
        <v>22</v>
      </c>
      <c r="E980" s="10">
        <v>1.52</v>
      </c>
      <c r="F980" s="10">
        <v>9.51</v>
      </c>
      <c r="G980" s="10">
        <v>8.2100000000000009</v>
      </c>
      <c r="H980" s="10">
        <v>1.85</v>
      </c>
      <c r="I980" s="8">
        <f t="shared" si="49"/>
        <v>2.6880315000000001</v>
      </c>
      <c r="K980" s="8">
        <f t="shared" si="51"/>
        <v>21.657481411740651</v>
      </c>
      <c r="L980" s="8">
        <f t="shared" si="50"/>
        <v>10.828740705870326</v>
      </c>
    </row>
    <row r="981" spans="1:12" x14ac:dyDescent="0.25">
      <c r="A981" s="1">
        <v>982</v>
      </c>
      <c r="B981" s="1">
        <v>75</v>
      </c>
      <c r="C981" s="3" t="s">
        <v>63</v>
      </c>
      <c r="D981" s="5" t="s">
        <v>22</v>
      </c>
      <c r="E981" s="10">
        <v>2.2200000000000002</v>
      </c>
      <c r="F981" s="10">
        <v>7.86</v>
      </c>
      <c r="G981" s="10">
        <v>7.84</v>
      </c>
      <c r="H981" s="10">
        <v>1.92</v>
      </c>
      <c r="I981" s="8">
        <f t="shared" si="49"/>
        <v>2.8952985600000001</v>
      </c>
      <c r="K981" s="8">
        <f t="shared" si="51"/>
        <v>19.691646959889159</v>
      </c>
      <c r="L981" s="8">
        <f t="shared" si="50"/>
        <v>9.8458234799445794</v>
      </c>
    </row>
    <row r="982" spans="1:12" x14ac:dyDescent="0.25">
      <c r="A982" s="1">
        <v>983</v>
      </c>
      <c r="B982" s="1">
        <v>76</v>
      </c>
      <c r="C982" s="3" t="s">
        <v>63</v>
      </c>
      <c r="D982" s="5" t="s">
        <v>22</v>
      </c>
      <c r="E982" s="10">
        <v>1.88</v>
      </c>
      <c r="F982" s="10">
        <v>5.18</v>
      </c>
      <c r="G982" s="10">
        <v>7.74</v>
      </c>
      <c r="H982" s="10">
        <v>2.04</v>
      </c>
      <c r="I982" s="8">
        <f t="shared" si="49"/>
        <v>3.2685206399999998</v>
      </c>
      <c r="K982" s="8">
        <f t="shared" si="51"/>
        <v>19.176874141856853</v>
      </c>
      <c r="L982" s="8">
        <f t="shared" si="50"/>
        <v>9.5884370709284266</v>
      </c>
    </row>
    <row r="983" spans="1:12" x14ac:dyDescent="0.25">
      <c r="A983" s="1">
        <v>984</v>
      </c>
      <c r="B983" s="1">
        <v>77</v>
      </c>
      <c r="C983" s="3" t="s">
        <v>63</v>
      </c>
      <c r="D983" s="5" t="s">
        <v>22</v>
      </c>
      <c r="E983" s="10">
        <v>1.28</v>
      </c>
      <c r="F983" s="10">
        <v>6.09</v>
      </c>
      <c r="G983" s="10">
        <v>4.83</v>
      </c>
      <c r="H983" s="10">
        <v>1.67</v>
      </c>
      <c r="I983" s="8">
        <f t="shared" si="49"/>
        <v>2.1904020599999998</v>
      </c>
      <c r="K983" s="8">
        <f t="shared" si="51"/>
        <v>7.2474587121416629</v>
      </c>
      <c r="L983" s="8">
        <f t="shared" si="50"/>
        <v>3.6237293560708315</v>
      </c>
    </row>
    <row r="984" spans="1:12" x14ac:dyDescent="0.25">
      <c r="A984" s="1">
        <v>985</v>
      </c>
      <c r="B984" s="1">
        <v>78</v>
      </c>
      <c r="C984" s="3" t="s">
        <v>63</v>
      </c>
      <c r="D984" s="5" t="s">
        <v>22</v>
      </c>
      <c r="E984" s="10">
        <v>2.11</v>
      </c>
      <c r="F984" s="10">
        <v>10.01</v>
      </c>
      <c r="G984" s="10">
        <v>3.49</v>
      </c>
      <c r="H984" s="10">
        <v>1.99</v>
      </c>
      <c r="I984" s="8">
        <f t="shared" si="49"/>
        <v>3.1102625399999999</v>
      </c>
      <c r="K984" s="8">
        <f t="shared" si="51"/>
        <v>3.7066460259814242</v>
      </c>
      <c r="L984" s="8">
        <f t="shared" si="50"/>
        <v>1.8533230129907121</v>
      </c>
    </row>
    <row r="985" spans="1:12" x14ac:dyDescent="0.25">
      <c r="A985" s="1">
        <v>986</v>
      </c>
      <c r="B985" s="1">
        <v>79</v>
      </c>
      <c r="C985" s="3" t="s">
        <v>63</v>
      </c>
      <c r="D985" s="5" t="s">
        <v>22</v>
      </c>
      <c r="E985" s="10">
        <v>1.95</v>
      </c>
      <c r="F985" s="10">
        <v>9.61</v>
      </c>
      <c r="G985" s="10">
        <v>5.42</v>
      </c>
      <c r="H985" s="10">
        <v>1.71</v>
      </c>
      <c r="I985" s="8">
        <f t="shared" si="49"/>
        <v>2.2965881399999999</v>
      </c>
      <c r="K985" s="8">
        <f t="shared" si="51"/>
        <v>9.1932352448289585</v>
      </c>
      <c r="L985" s="8">
        <f t="shared" si="50"/>
        <v>4.5966176224144792</v>
      </c>
    </row>
    <row r="986" spans="1:12" x14ac:dyDescent="0.25">
      <c r="A986" s="1">
        <v>987</v>
      </c>
      <c r="B986" s="1">
        <v>80</v>
      </c>
      <c r="C986" s="3" t="s">
        <v>63</v>
      </c>
      <c r="D986" s="5" t="s">
        <v>22</v>
      </c>
      <c r="E986" s="10">
        <v>1.53</v>
      </c>
      <c r="F986" s="10">
        <v>5.19</v>
      </c>
      <c r="G986" s="10">
        <v>4.04</v>
      </c>
      <c r="H986" s="10">
        <v>1.77</v>
      </c>
      <c r="I986" s="8">
        <f t="shared" si="49"/>
        <v>2.4605796600000001</v>
      </c>
      <c r="K986" s="8">
        <f t="shared" si="51"/>
        <v>5.0133588560936664</v>
      </c>
      <c r="L986" s="8">
        <f t="shared" si="50"/>
        <v>2.5066794280468332</v>
      </c>
    </row>
    <row r="987" spans="1:12" x14ac:dyDescent="0.25">
      <c r="A987" s="1">
        <v>988</v>
      </c>
      <c r="B987" s="1">
        <v>81</v>
      </c>
      <c r="C987" s="3" t="s">
        <v>63</v>
      </c>
      <c r="D987" s="5" t="s">
        <v>22</v>
      </c>
      <c r="E987" s="10">
        <v>1.8</v>
      </c>
      <c r="F987" s="10">
        <v>6.55</v>
      </c>
      <c r="G987" s="10">
        <v>7.17</v>
      </c>
      <c r="H987" s="10">
        <v>1.8</v>
      </c>
      <c r="I987" s="8">
        <f t="shared" si="49"/>
        <v>2.5446960000000001</v>
      </c>
      <c r="K987" s="8">
        <f t="shared" si="51"/>
        <v>16.376633253531743</v>
      </c>
      <c r="L987" s="8">
        <f t="shared" si="50"/>
        <v>8.1883166267658716</v>
      </c>
    </row>
    <row r="988" spans="1:12" x14ac:dyDescent="0.25">
      <c r="A988" s="1">
        <v>989</v>
      </c>
      <c r="B988" s="1">
        <v>82</v>
      </c>
      <c r="C988" s="3" t="s">
        <v>63</v>
      </c>
      <c r="D988" s="5" t="s">
        <v>22</v>
      </c>
      <c r="E988" s="10">
        <v>1.36</v>
      </c>
      <c r="F988" s="10">
        <v>6.62</v>
      </c>
      <c r="G988" s="10">
        <v>5.08</v>
      </c>
      <c r="H988" s="10">
        <v>2.08</v>
      </c>
      <c r="I988" s="8">
        <f t="shared" si="49"/>
        <v>3.3979545600000005</v>
      </c>
      <c r="K988" s="8">
        <f t="shared" si="51"/>
        <v>8.0428619776756953</v>
      </c>
      <c r="L988" s="8">
        <f t="shared" si="50"/>
        <v>4.0214309888378477</v>
      </c>
    </row>
    <row r="989" spans="1:12" x14ac:dyDescent="0.25">
      <c r="A989" s="1">
        <v>990</v>
      </c>
      <c r="B989" s="1">
        <v>83</v>
      </c>
      <c r="C989" s="3" t="s">
        <v>63</v>
      </c>
      <c r="D989" s="5" t="s">
        <v>22</v>
      </c>
      <c r="E989" s="10">
        <v>1.82</v>
      </c>
      <c r="F989" s="10">
        <v>9.6999999999999993</v>
      </c>
      <c r="G989" s="10">
        <v>8.85</v>
      </c>
      <c r="H989" s="10">
        <v>1.83</v>
      </c>
      <c r="I989" s="8">
        <f t="shared" si="49"/>
        <v>2.6302260600000005</v>
      </c>
      <c r="K989" s="8">
        <f t="shared" si="51"/>
        <v>25.285892350851334</v>
      </c>
      <c r="L989" s="8">
        <f t="shared" si="50"/>
        <v>12.642946175425667</v>
      </c>
    </row>
    <row r="990" spans="1:12" x14ac:dyDescent="0.25">
      <c r="A990" s="1">
        <v>991</v>
      </c>
      <c r="B990" s="1">
        <v>84</v>
      </c>
      <c r="C990" s="3" t="s">
        <v>63</v>
      </c>
      <c r="D990" s="5" t="s">
        <v>22</v>
      </c>
      <c r="E990" s="10">
        <v>2.29</v>
      </c>
      <c r="F990" s="10">
        <v>5.14</v>
      </c>
      <c r="G990" s="10">
        <v>6.85</v>
      </c>
      <c r="H990" s="10">
        <v>2.0699999999999998</v>
      </c>
      <c r="I990" s="8">
        <f t="shared" si="49"/>
        <v>3.3653604599999993</v>
      </c>
      <c r="K990" s="8">
        <f t="shared" si="51"/>
        <v>14.904188679853876</v>
      </c>
      <c r="L990" s="8">
        <f t="shared" si="50"/>
        <v>7.4520943399269379</v>
      </c>
    </row>
    <row r="991" spans="1:12" x14ac:dyDescent="0.25">
      <c r="A991" s="1">
        <v>992</v>
      </c>
      <c r="B991" s="1">
        <v>85</v>
      </c>
      <c r="C991" s="3" t="s">
        <v>63</v>
      </c>
      <c r="D991" s="5" t="s">
        <v>22</v>
      </c>
      <c r="E991" s="10">
        <v>2.12</v>
      </c>
      <c r="F991" s="10">
        <v>5.73</v>
      </c>
      <c r="G991" s="10">
        <v>7.93</v>
      </c>
      <c r="H991" s="10">
        <v>2.09</v>
      </c>
      <c r="I991" s="8">
        <f t="shared" si="49"/>
        <v>3.4307057399999992</v>
      </c>
      <c r="K991" s="8">
        <f t="shared" si="51"/>
        <v>20.160953485398025</v>
      </c>
      <c r="L991" s="8">
        <f t="shared" si="50"/>
        <v>10.080476742699013</v>
      </c>
    </row>
    <row r="992" spans="1:12" x14ac:dyDescent="0.25">
      <c r="A992" s="1">
        <v>993</v>
      </c>
      <c r="B992" s="1">
        <v>86</v>
      </c>
      <c r="C992" s="3" t="s">
        <v>63</v>
      </c>
      <c r="D992" s="5" t="s">
        <v>22</v>
      </c>
      <c r="E992" s="10">
        <v>1.47</v>
      </c>
      <c r="F992" s="10">
        <v>10.6</v>
      </c>
      <c r="G992" s="10">
        <v>3.8</v>
      </c>
      <c r="H992" s="10">
        <v>1.81</v>
      </c>
      <c r="I992" s="8">
        <f t="shared" si="49"/>
        <v>2.5730489400000001</v>
      </c>
      <c r="K992" s="8">
        <f t="shared" si="51"/>
        <v>4.4181890729503657</v>
      </c>
      <c r="L992" s="8">
        <f t="shared" si="50"/>
        <v>2.2090945364751828</v>
      </c>
    </row>
    <row r="993" spans="1:12" x14ac:dyDescent="0.25">
      <c r="A993" s="1">
        <v>994</v>
      </c>
      <c r="B993" s="1">
        <v>87</v>
      </c>
      <c r="C993" s="3" t="s">
        <v>63</v>
      </c>
      <c r="D993" s="5" t="s">
        <v>22</v>
      </c>
      <c r="E993" s="10">
        <v>1.61</v>
      </c>
      <c r="F993" s="10">
        <v>6.25</v>
      </c>
      <c r="G993" s="10">
        <v>8.17</v>
      </c>
      <c r="H993" s="10">
        <v>1.84</v>
      </c>
      <c r="I993" s="8">
        <f t="shared" si="49"/>
        <v>2.65905024</v>
      </c>
      <c r="K993" s="8">
        <f t="shared" si="51"/>
        <v>21.440309942845335</v>
      </c>
      <c r="L993" s="8">
        <f t="shared" si="50"/>
        <v>10.720154971422668</v>
      </c>
    </row>
    <row r="994" spans="1:12" x14ac:dyDescent="0.25">
      <c r="A994" s="1">
        <v>995</v>
      </c>
      <c r="B994" s="1">
        <v>88</v>
      </c>
      <c r="C994" s="3" t="s">
        <v>63</v>
      </c>
      <c r="D994" s="5" t="s">
        <v>22</v>
      </c>
      <c r="E994" s="10">
        <v>2.19</v>
      </c>
      <c r="F994" s="10">
        <v>9.57</v>
      </c>
      <c r="G994" s="10">
        <v>8.5399999999999991</v>
      </c>
      <c r="H994" s="10">
        <v>1.99</v>
      </c>
      <c r="I994" s="8">
        <f t="shared" si="49"/>
        <v>3.1102625399999999</v>
      </c>
      <c r="K994" s="8">
        <f t="shared" si="51"/>
        <v>23.492225544635318</v>
      </c>
      <c r="L994" s="8">
        <f t="shared" si="50"/>
        <v>11.746112772317659</v>
      </c>
    </row>
    <row r="995" spans="1:12" x14ac:dyDescent="0.25">
      <c r="A995" s="1">
        <v>996</v>
      </c>
      <c r="B995" s="1">
        <v>89</v>
      </c>
      <c r="C995" s="3" t="s">
        <v>63</v>
      </c>
      <c r="D995" s="5" t="s">
        <v>22</v>
      </c>
      <c r="E995" s="10">
        <v>1.48</v>
      </c>
      <c r="F995" s="10">
        <v>6.67</v>
      </c>
      <c r="G995" s="10">
        <v>5.92</v>
      </c>
      <c r="H995" s="10">
        <v>1.68</v>
      </c>
      <c r="I995" s="8">
        <f t="shared" si="49"/>
        <v>2.2167129599999997</v>
      </c>
      <c r="K995" s="8">
        <f t="shared" si="51"/>
        <v>11.029267940711481</v>
      </c>
      <c r="L995" s="8">
        <f t="shared" si="50"/>
        <v>5.5146339703557405</v>
      </c>
    </row>
    <row r="996" spans="1:12" x14ac:dyDescent="0.25">
      <c r="A996" s="1">
        <v>997</v>
      </c>
      <c r="B996" s="1">
        <v>90</v>
      </c>
      <c r="C996" s="3" t="s">
        <v>63</v>
      </c>
      <c r="D996" s="5" t="s">
        <v>22</v>
      </c>
      <c r="E996" s="10">
        <v>2.09</v>
      </c>
      <c r="F996" s="10">
        <v>5.7</v>
      </c>
      <c r="G996" s="10">
        <v>6.64</v>
      </c>
      <c r="H996" s="10">
        <v>1.94</v>
      </c>
      <c r="I996" s="8">
        <f t="shared" si="49"/>
        <v>2.9559314399999996</v>
      </c>
      <c r="K996" s="8">
        <f t="shared" si="51"/>
        <v>13.976701092273087</v>
      </c>
      <c r="L996" s="8">
        <f t="shared" si="50"/>
        <v>6.9883505461365436</v>
      </c>
    </row>
    <row r="997" spans="1:12" x14ac:dyDescent="0.25">
      <c r="A997" s="1">
        <v>998</v>
      </c>
      <c r="B997" s="1">
        <v>91</v>
      </c>
      <c r="C997" s="3" t="s">
        <v>63</v>
      </c>
      <c r="D997" s="5" t="s">
        <v>22</v>
      </c>
      <c r="E997" s="10">
        <v>2.11</v>
      </c>
      <c r="F997" s="10">
        <v>6.7</v>
      </c>
      <c r="G997" s="10">
        <v>7.59</v>
      </c>
      <c r="H997" s="10">
        <v>1.87</v>
      </c>
      <c r="I997" s="8">
        <f t="shared" si="49"/>
        <v>2.7464652600000004</v>
      </c>
      <c r="K997" s="8">
        <f t="shared" si="51"/>
        <v>18.417884712901415</v>
      </c>
      <c r="L997" s="8">
        <f t="shared" si="50"/>
        <v>9.2089423564507076</v>
      </c>
    </row>
    <row r="998" spans="1:12" x14ac:dyDescent="0.25">
      <c r="A998" s="1">
        <v>999</v>
      </c>
      <c r="B998" s="1">
        <v>92</v>
      </c>
      <c r="C998" s="3" t="s">
        <v>63</v>
      </c>
      <c r="D998" s="5" t="s">
        <v>22</v>
      </c>
      <c r="E998" s="10">
        <v>1.55</v>
      </c>
      <c r="F998" s="10">
        <v>10.06</v>
      </c>
      <c r="G998" s="10">
        <v>4.05</v>
      </c>
      <c r="H998" s="10">
        <v>2.0499999999999998</v>
      </c>
      <c r="I998" s="8">
        <f t="shared" si="49"/>
        <v>3.3006434999999996</v>
      </c>
      <c r="K998" s="8">
        <f t="shared" si="51"/>
        <v>5.0389991606024687</v>
      </c>
      <c r="L998" s="8">
        <f t="shared" si="50"/>
        <v>2.5194995803012343</v>
      </c>
    </row>
    <row r="999" spans="1:12" x14ac:dyDescent="0.25">
      <c r="A999" s="1">
        <v>1000</v>
      </c>
      <c r="B999" s="1">
        <v>93</v>
      </c>
      <c r="C999" s="3" t="s">
        <v>63</v>
      </c>
      <c r="D999" s="5" t="s">
        <v>22</v>
      </c>
      <c r="E999" s="10">
        <v>1.4</v>
      </c>
      <c r="F999" s="10">
        <v>10.99</v>
      </c>
      <c r="G999" s="10">
        <v>6.02</v>
      </c>
      <c r="H999" s="10">
        <v>1.91</v>
      </c>
      <c r="I999" s="8">
        <f t="shared" si="49"/>
        <v>2.8652177399999998</v>
      </c>
      <c r="K999" s="8">
        <f t="shared" si="51"/>
        <v>11.417163102651509</v>
      </c>
      <c r="L999" s="8">
        <f t="shared" si="50"/>
        <v>5.7085815513257545</v>
      </c>
    </row>
    <row r="1000" spans="1:12" x14ac:dyDescent="0.25">
      <c r="A1000" s="1">
        <v>1001</v>
      </c>
      <c r="B1000" s="1">
        <v>94</v>
      </c>
      <c r="C1000" s="3" t="s">
        <v>63</v>
      </c>
      <c r="D1000" s="5" t="s">
        <v>22</v>
      </c>
      <c r="E1000" s="10">
        <v>1.88</v>
      </c>
      <c r="F1000" s="10">
        <v>10.81</v>
      </c>
      <c r="G1000" s="10">
        <v>5.39</v>
      </c>
      <c r="H1000" s="10">
        <v>1.98</v>
      </c>
      <c r="I1000" s="8">
        <f t="shared" si="49"/>
        <v>3.07908216</v>
      </c>
      <c r="K1000" s="8">
        <f t="shared" si="51"/>
        <v>9.0885429218479068</v>
      </c>
      <c r="L1000" s="8">
        <f t="shared" si="50"/>
        <v>4.5442714609239534</v>
      </c>
    </row>
    <row r="1001" spans="1:12" x14ac:dyDescent="0.25">
      <c r="A1001" s="1">
        <v>1002</v>
      </c>
      <c r="B1001" s="1">
        <v>95</v>
      </c>
      <c r="C1001" s="3" t="s">
        <v>63</v>
      </c>
      <c r="D1001" s="5" t="s">
        <v>22</v>
      </c>
      <c r="E1001" s="10">
        <v>2.11</v>
      </c>
      <c r="F1001" s="10">
        <v>7.78</v>
      </c>
      <c r="G1001" s="10">
        <v>3.88</v>
      </c>
      <c r="H1001" s="10">
        <v>1.89</v>
      </c>
      <c r="I1001" s="8">
        <f t="shared" si="49"/>
        <v>2.8055273399999998</v>
      </c>
      <c r="K1001" s="8">
        <f t="shared" si="51"/>
        <v>4.6122741272078143</v>
      </c>
      <c r="L1001" s="8">
        <f t="shared" si="50"/>
        <v>2.3061370636039071</v>
      </c>
    </row>
    <row r="1002" spans="1:12" x14ac:dyDescent="0.25">
      <c r="A1002" s="1">
        <v>1003</v>
      </c>
      <c r="B1002" s="1">
        <v>96</v>
      </c>
      <c r="C1002" s="3" t="s">
        <v>63</v>
      </c>
      <c r="D1002" s="5" t="s">
        <v>22</v>
      </c>
      <c r="E1002" s="10">
        <v>1.72</v>
      </c>
      <c r="F1002" s="10">
        <v>9.68</v>
      </c>
      <c r="G1002" s="10">
        <v>5.21</v>
      </c>
      <c r="H1002" s="10">
        <v>1.83</v>
      </c>
      <c r="I1002" s="8">
        <f t="shared" si="49"/>
        <v>2.6302260600000005</v>
      </c>
      <c r="K1002" s="8">
        <f t="shared" si="51"/>
        <v>8.4733566706946757</v>
      </c>
      <c r="L1002" s="8">
        <f t="shared" si="50"/>
        <v>4.2366783353473378</v>
      </c>
    </row>
    <row r="1003" spans="1:12" x14ac:dyDescent="0.25">
      <c r="A1003" s="1">
        <v>1004</v>
      </c>
      <c r="B1003" s="1">
        <v>97</v>
      </c>
      <c r="C1003" s="3" t="s">
        <v>63</v>
      </c>
      <c r="D1003" s="5" t="s">
        <v>22</v>
      </c>
      <c r="E1003" s="10">
        <v>1.85</v>
      </c>
      <c r="F1003" s="10">
        <v>6.43</v>
      </c>
      <c r="G1003" s="10">
        <v>3.41</v>
      </c>
      <c r="H1003" s="10">
        <v>1.75</v>
      </c>
      <c r="I1003" s="8">
        <f t="shared" si="49"/>
        <v>2.4052875</v>
      </c>
      <c r="K1003" s="8">
        <f t="shared" si="51"/>
        <v>3.5334545272206386</v>
      </c>
      <c r="L1003" s="8">
        <f t="shared" si="50"/>
        <v>1.7667272636103193</v>
      </c>
    </row>
    <row r="1004" spans="1:12" x14ac:dyDescent="0.25">
      <c r="A1004" s="1">
        <v>1005</v>
      </c>
      <c r="B1004" s="1">
        <v>98</v>
      </c>
      <c r="C1004" s="3" t="s">
        <v>63</v>
      </c>
      <c r="D1004" s="5" t="s">
        <v>22</v>
      </c>
      <c r="E1004" s="10">
        <v>2.2799999999999998</v>
      </c>
      <c r="F1004" s="10">
        <v>7.05</v>
      </c>
      <c r="G1004" s="10">
        <v>3.15</v>
      </c>
      <c r="H1004" s="10">
        <v>1.86</v>
      </c>
      <c r="I1004" s="8">
        <f t="shared" si="49"/>
        <v>2.7171698400000004</v>
      </c>
      <c r="K1004" s="8">
        <f t="shared" si="51"/>
        <v>3.0000236151704662</v>
      </c>
      <c r="L1004" s="8">
        <f t="shared" si="50"/>
        <v>1.5000118075852331</v>
      </c>
    </row>
    <row r="1005" spans="1:12" x14ac:dyDescent="0.25">
      <c r="A1005" s="1">
        <v>1006</v>
      </c>
      <c r="B1005" s="1">
        <v>99</v>
      </c>
      <c r="C1005" s="3" t="s">
        <v>63</v>
      </c>
      <c r="D1005" s="5" t="s">
        <v>22</v>
      </c>
      <c r="E1005" s="10">
        <v>1.59</v>
      </c>
      <c r="F1005" s="10">
        <v>11.27</v>
      </c>
      <c r="G1005" s="10">
        <v>3.81</v>
      </c>
      <c r="H1005" s="10">
        <v>2</v>
      </c>
      <c r="I1005" s="8">
        <f t="shared" si="49"/>
        <v>3.1415999999999999</v>
      </c>
      <c r="K1005" s="8">
        <f t="shared" si="51"/>
        <v>4.4422145770836661</v>
      </c>
      <c r="L1005" s="8">
        <f t="shared" si="50"/>
        <v>2.221107288541833</v>
      </c>
    </row>
    <row r="1006" spans="1:12" x14ac:dyDescent="0.25">
      <c r="A1006" s="1">
        <v>1007</v>
      </c>
      <c r="B1006" s="1">
        <v>100</v>
      </c>
      <c r="C1006" s="3" t="s">
        <v>63</v>
      </c>
      <c r="D1006" s="5" t="s">
        <v>22</v>
      </c>
      <c r="E1006" s="10">
        <v>1.62</v>
      </c>
      <c r="F1006" s="10">
        <v>5.09</v>
      </c>
      <c r="G1006" s="10">
        <v>8.7799999999999994</v>
      </c>
      <c r="H1006" s="10">
        <v>1.95</v>
      </c>
      <c r="I1006" s="8">
        <f t="shared" si="49"/>
        <v>2.9864834999999998</v>
      </c>
      <c r="K1006" s="8">
        <f t="shared" si="51"/>
        <v>24.87492495386325</v>
      </c>
      <c r="L1006" s="8">
        <f t="shared" si="50"/>
        <v>12.437462476931625</v>
      </c>
    </row>
    <row r="1007" spans="1:12" x14ac:dyDescent="0.25">
      <c r="A1007" s="1">
        <v>1008</v>
      </c>
      <c r="B1007" s="1">
        <v>101</v>
      </c>
      <c r="C1007" s="3" t="s">
        <v>63</v>
      </c>
      <c r="D1007" s="5" t="s">
        <v>22</v>
      </c>
      <c r="E1007" s="10">
        <v>1.8</v>
      </c>
      <c r="F1007" s="10">
        <v>5.6</v>
      </c>
      <c r="G1007" s="10">
        <v>6.3</v>
      </c>
      <c r="H1007" s="10">
        <v>1.68</v>
      </c>
      <c r="I1007" s="8">
        <f t="shared" si="49"/>
        <v>2.2167129599999997</v>
      </c>
      <c r="K1007" s="8">
        <f t="shared" si="51"/>
        <v>12.54007313651903</v>
      </c>
      <c r="L1007" s="8">
        <f t="shared" si="50"/>
        <v>6.2700365682595152</v>
      </c>
    </row>
    <row r="1008" spans="1:12" x14ac:dyDescent="0.25">
      <c r="A1008" s="1">
        <v>1009</v>
      </c>
      <c r="B1008" s="1">
        <v>102</v>
      </c>
      <c r="C1008" s="3" t="s">
        <v>63</v>
      </c>
      <c r="D1008" s="5" t="s">
        <v>22</v>
      </c>
      <c r="E1008" s="10">
        <v>1.62</v>
      </c>
      <c r="F1008" s="10">
        <v>6.46</v>
      </c>
      <c r="G1008" s="10">
        <v>8.7899999999999991</v>
      </c>
      <c r="H1008" s="10">
        <v>1.96</v>
      </c>
      <c r="I1008" s="8">
        <f t="shared" si="49"/>
        <v>3.0171926399999998</v>
      </c>
      <c r="K1008" s="8">
        <f t="shared" si="51"/>
        <v>24.933422101268413</v>
      </c>
      <c r="L1008" s="8">
        <f t="shared" si="50"/>
        <v>12.466711050634206</v>
      </c>
    </row>
    <row r="1009" spans="1:12" x14ac:dyDescent="0.25">
      <c r="A1009" s="1">
        <v>1010</v>
      </c>
      <c r="B1009" s="1">
        <v>103</v>
      </c>
      <c r="C1009" s="3" t="s">
        <v>63</v>
      </c>
      <c r="D1009" s="5" t="s">
        <v>22</v>
      </c>
      <c r="E1009" s="10">
        <v>2.02</v>
      </c>
      <c r="F1009" s="10">
        <v>5.19</v>
      </c>
      <c r="G1009" s="10">
        <v>5.59</v>
      </c>
      <c r="H1009" s="10">
        <v>1.91</v>
      </c>
      <c r="I1009" s="8">
        <f t="shared" si="49"/>
        <v>2.8652177399999998</v>
      </c>
      <c r="K1009" s="8">
        <f t="shared" si="51"/>
        <v>9.7981731790551283</v>
      </c>
      <c r="L1009" s="8">
        <f t="shared" si="50"/>
        <v>4.8990865895275642</v>
      </c>
    </row>
    <row r="1010" spans="1:12" x14ac:dyDescent="0.25">
      <c r="A1010" s="1">
        <v>1011</v>
      </c>
      <c r="B1010" s="1">
        <v>104</v>
      </c>
      <c r="C1010" s="3" t="s">
        <v>63</v>
      </c>
      <c r="D1010" s="5" t="s">
        <v>22</v>
      </c>
      <c r="E1010" s="10">
        <v>1.73</v>
      </c>
      <c r="F1010" s="10">
        <v>6.27</v>
      </c>
      <c r="G1010" s="10">
        <v>4.87</v>
      </c>
      <c r="H1010" s="10">
        <v>1.78</v>
      </c>
      <c r="I1010" s="8">
        <f t="shared" si="49"/>
        <v>2.4884613600000001</v>
      </c>
      <c r="K1010" s="8">
        <f t="shared" si="51"/>
        <v>7.3718562349967494</v>
      </c>
      <c r="L1010" s="8">
        <f t="shared" si="50"/>
        <v>3.6859281174983747</v>
      </c>
    </row>
    <row r="1011" spans="1:12" x14ac:dyDescent="0.25">
      <c r="A1011" s="1">
        <v>1012</v>
      </c>
      <c r="B1011" s="1">
        <v>105</v>
      </c>
      <c r="C1011" s="3" t="s">
        <v>63</v>
      </c>
      <c r="D1011" s="5" t="s">
        <v>22</v>
      </c>
      <c r="E1011" s="10">
        <v>1.99</v>
      </c>
      <c r="F1011" s="10">
        <v>9.08</v>
      </c>
      <c r="G1011" s="10">
        <v>6.04</v>
      </c>
      <c r="H1011" s="10">
        <v>2.04</v>
      </c>
      <c r="I1011" s="8">
        <f t="shared" si="49"/>
        <v>3.2685206399999998</v>
      </c>
      <c r="K1011" s="8">
        <f t="shared" si="51"/>
        <v>11.49557153833489</v>
      </c>
      <c r="L1011" s="8">
        <f t="shared" si="50"/>
        <v>5.7477857691674448</v>
      </c>
    </row>
    <row r="1012" spans="1:12" x14ac:dyDescent="0.25">
      <c r="A1012" s="1">
        <v>1013</v>
      </c>
      <c r="B1012" s="1">
        <v>106</v>
      </c>
      <c r="C1012" s="3" t="s">
        <v>63</v>
      </c>
      <c r="D1012" s="5" t="s">
        <v>22</v>
      </c>
      <c r="E1012" s="10">
        <v>1.26</v>
      </c>
      <c r="F1012" s="10">
        <v>7.95</v>
      </c>
      <c r="G1012" s="10">
        <v>5.64</v>
      </c>
      <c r="H1012" s="10">
        <v>1.92</v>
      </c>
      <c r="I1012" s="8">
        <f t="shared" si="49"/>
        <v>2.8952985600000001</v>
      </c>
      <c r="K1012" s="8">
        <f t="shared" si="51"/>
        <v>9.9798790210454715</v>
      </c>
      <c r="L1012" s="8">
        <f t="shared" si="50"/>
        <v>4.9899395105227358</v>
      </c>
    </row>
    <row r="1013" spans="1:12" x14ac:dyDescent="0.25">
      <c r="A1013" s="1">
        <v>1014</v>
      </c>
      <c r="B1013" s="1">
        <v>107</v>
      </c>
      <c r="C1013" s="3" t="s">
        <v>63</v>
      </c>
      <c r="D1013" s="5" t="s">
        <v>22</v>
      </c>
      <c r="E1013" s="10">
        <v>2.0499999999999998</v>
      </c>
      <c r="F1013" s="10">
        <v>11.25</v>
      </c>
      <c r="G1013" s="10">
        <v>3.63</v>
      </c>
      <c r="H1013" s="10">
        <v>2.04</v>
      </c>
      <c r="I1013" s="8">
        <f t="shared" si="49"/>
        <v>3.2685206399999998</v>
      </c>
      <c r="K1013" s="8">
        <f t="shared" si="51"/>
        <v>4.0200195614420116</v>
      </c>
      <c r="L1013" s="8">
        <f t="shared" si="50"/>
        <v>2.0100097807210058</v>
      </c>
    </row>
    <row r="1014" spans="1:12" x14ac:dyDescent="0.25">
      <c r="A1014" s="1">
        <v>1015</v>
      </c>
      <c r="B1014" s="1">
        <v>108</v>
      </c>
      <c r="C1014" s="3" t="s">
        <v>63</v>
      </c>
      <c r="D1014" s="5" t="s">
        <v>22</v>
      </c>
      <c r="E1014" s="10">
        <v>1.63</v>
      </c>
      <c r="F1014" s="10">
        <v>10.72</v>
      </c>
      <c r="G1014" s="10">
        <v>6.84</v>
      </c>
      <c r="H1014" s="10">
        <v>1.7</v>
      </c>
      <c r="I1014" s="8">
        <f t="shared" si="49"/>
        <v>2.2698059999999995</v>
      </c>
      <c r="K1014" s="8">
        <f t="shared" si="51"/>
        <v>14.859326023169654</v>
      </c>
      <c r="L1014" s="8">
        <f t="shared" si="50"/>
        <v>7.429663011584827</v>
      </c>
    </row>
    <row r="1015" spans="1:12" x14ac:dyDescent="0.25">
      <c r="A1015" s="1">
        <v>1016</v>
      </c>
      <c r="B1015" s="1">
        <v>109</v>
      </c>
      <c r="C1015" s="3" t="s">
        <v>63</v>
      </c>
      <c r="D1015" s="5" t="s">
        <v>22</v>
      </c>
      <c r="E1015" s="10">
        <v>2.2799999999999998</v>
      </c>
      <c r="F1015" s="10">
        <v>7.39</v>
      </c>
      <c r="G1015" s="10">
        <v>4.3</v>
      </c>
      <c r="H1015" s="10">
        <v>1.99</v>
      </c>
      <c r="I1015" s="8">
        <f t="shared" si="49"/>
        <v>3.1102625399999999</v>
      </c>
      <c r="K1015" s="8">
        <f t="shared" si="51"/>
        <v>5.7019447352312129</v>
      </c>
      <c r="L1015" s="8">
        <f t="shared" si="50"/>
        <v>2.8509723676156065</v>
      </c>
    </row>
    <row r="1016" spans="1:12" x14ac:dyDescent="0.25">
      <c r="A1016" s="1">
        <v>1017</v>
      </c>
      <c r="B1016" s="1">
        <v>110</v>
      </c>
      <c r="C1016" s="3" t="s">
        <v>63</v>
      </c>
      <c r="D1016" s="5" t="s">
        <v>22</v>
      </c>
      <c r="E1016" s="10">
        <v>1.31</v>
      </c>
      <c r="F1016" s="10">
        <v>6.82</v>
      </c>
      <c r="G1016" s="10">
        <v>6.72</v>
      </c>
      <c r="H1016" s="10">
        <v>1.94</v>
      </c>
      <c r="I1016" s="8">
        <f t="shared" si="49"/>
        <v>2.9559314399999996</v>
      </c>
      <c r="K1016" s="8">
        <f t="shared" si="51"/>
        <v>14.326408835794631</v>
      </c>
      <c r="L1016" s="8">
        <f t="shared" si="50"/>
        <v>7.1632044178973153</v>
      </c>
    </row>
    <row r="1017" spans="1:12" x14ac:dyDescent="0.25">
      <c r="A1017" s="1">
        <v>1018</v>
      </c>
      <c r="B1017" s="1">
        <v>111</v>
      </c>
      <c r="C1017" s="3" t="s">
        <v>63</v>
      </c>
      <c r="D1017" s="5" t="s">
        <v>22</v>
      </c>
      <c r="E1017" s="10">
        <v>1.68</v>
      </c>
      <c r="F1017" s="10">
        <v>7.66</v>
      </c>
      <c r="G1017" s="10">
        <v>6.9</v>
      </c>
      <c r="H1017" s="10">
        <v>1.68</v>
      </c>
      <c r="I1017" s="8">
        <f t="shared" si="49"/>
        <v>2.2167129599999997</v>
      </c>
      <c r="K1017" s="8">
        <f t="shared" si="51"/>
        <v>15.129547679877595</v>
      </c>
      <c r="L1017" s="8">
        <f t="shared" si="50"/>
        <v>7.5647738399387974</v>
      </c>
    </row>
    <row r="1018" spans="1:12" x14ac:dyDescent="0.25">
      <c r="A1018" s="1">
        <v>1019</v>
      </c>
      <c r="B1018" s="1">
        <v>112</v>
      </c>
      <c r="C1018" s="3" t="s">
        <v>63</v>
      </c>
      <c r="D1018" s="5" t="s">
        <v>22</v>
      </c>
      <c r="E1018" s="10">
        <v>1.42</v>
      </c>
      <c r="F1018" s="10">
        <v>9.1300000000000008</v>
      </c>
      <c r="G1018" s="10">
        <v>3.91</v>
      </c>
      <c r="H1018" s="10">
        <v>2.08</v>
      </c>
      <c r="I1018" s="8">
        <f t="shared" si="49"/>
        <v>3.3979545600000005</v>
      </c>
      <c r="K1018" s="8">
        <f t="shared" si="51"/>
        <v>4.6861650911010058</v>
      </c>
      <c r="L1018" s="8">
        <f t="shared" si="50"/>
        <v>2.3430825455505029</v>
      </c>
    </row>
    <row r="1019" spans="1:12" x14ac:dyDescent="0.25">
      <c r="A1019" s="1">
        <v>1020</v>
      </c>
      <c r="B1019" s="1">
        <v>113</v>
      </c>
      <c r="C1019" s="3" t="s">
        <v>63</v>
      </c>
      <c r="D1019" s="5" t="s">
        <v>22</v>
      </c>
      <c r="E1019" s="10">
        <v>2.33</v>
      </c>
      <c r="F1019" s="10">
        <v>6.88</v>
      </c>
      <c r="G1019" s="10">
        <v>3.37</v>
      </c>
      <c r="H1019" s="10">
        <v>2.09</v>
      </c>
      <c r="I1019" s="8">
        <f t="shared" si="49"/>
        <v>3.4307057399999992</v>
      </c>
      <c r="K1019" s="8">
        <f t="shared" si="51"/>
        <v>3.4484596287737599</v>
      </c>
      <c r="L1019" s="8">
        <f t="shared" si="50"/>
        <v>1.7242298143868799</v>
      </c>
    </row>
    <row r="1020" spans="1:12" x14ac:dyDescent="0.25">
      <c r="A1020" s="1">
        <v>1021</v>
      </c>
      <c r="B1020" s="1">
        <v>114</v>
      </c>
      <c r="C1020" s="3" t="s">
        <v>63</v>
      </c>
      <c r="D1020" s="5" t="s">
        <v>22</v>
      </c>
      <c r="E1020" s="10">
        <v>2</v>
      </c>
      <c r="F1020" s="10">
        <v>9.3699999999999992</v>
      </c>
      <c r="G1020" s="10">
        <v>7.68</v>
      </c>
      <c r="H1020" s="10">
        <v>2.0699999999999998</v>
      </c>
      <c r="I1020" s="8">
        <f t="shared" si="49"/>
        <v>3.3653604599999993</v>
      </c>
      <c r="K1020" s="8">
        <f t="shared" si="51"/>
        <v>18.871382752055279</v>
      </c>
      <c r="L1020" s="8">
        <f t="shared" si="50"/>
        <v>9.4356913760276395</v>
      </c>
    </row>
    <row r="1021" spans="1:12" x14ac:dyDescent="0.25">
      <c r="A1021" s="1">
        <v>1022</v>
      </c>
      <c r="B1021" s="1">
        <v>115</v>
      </c>
      <c r="C1021" s="3" t="s">
        <v>63</v>
      </c>
      <c r="D1021" s="5" t="s">
        <v>22</v>
      </c>
      <c r="E1021" s="10">
        <v>2.09</v>
      </c>
      <c r="F1021" s="10">
        <v>7.87</v>
      </c>
      <c r="G1021" s="10">
        <v>5.76</v>
      </c>
      <c r="H1021" s="10">
        <v>1.98</v>
      </c>
      <c r="I1021" s="8">
        <f t="shared" si="49"/>
        <v>3.07908216</v>
      </c>
      <c r="K1021" s="8">
        <f t="shared" si="51"/>
        <v>10.422997657250791</v>
      </c>
      <c r="L1021" s="8">
        <f t="shared" si="50"/>
        <v>5.2114988286253956</v>
      </c>
    </row>
    <row r="1022" spans="1:12" x14ac:dyDescent="0.25">
      <c r="A1022" s="1">
        <v>1023</v>
      </c>
      <c r="B1022" s="1">
        <v>116</v>
      </c>
      <c r="C1022" s="3" t="s">
        <v>63</v>
      </c>
      <c r="D1022" s="5" t="s">
        <v>22</v>
      </c>
      <c r="E1022" s="10">
        <v>1.8</v>
      </c>
      <c r="F1022" s="10">
        <v>8.86</v>
      </c>
      <c r="G1022" s="10">
        <v>3.35</v>
      </c>
      <c r="H1022" s="10">
        <v>1.83</v>
      </c>
      <c r="I1022" s="8">
        <f t="shared" si="49"/>
        <v>2.6302260600000005</v>
      </c>
      <c r="K1022" s="8">
        <f t="shared" si="51"/>
        <v>3.4063620440856299</v>
      </c>
      <c r="L1022" s="8">
        <f t="shared" si="50"/>
        <v>1.703181022042815</v>
      </c>
    </row>
    <row r="1023" spans="1:12" x14ac:dyDescent="0.25">
      <c r="A1023" s="1">
        <v>1024</v>
      </c>
      <c r="B1023" s="1">
        <v>117</v>
      </c>
      <c r="C1023" s="3" t="s">
        <v>63</v>
      </c>
      <c r="D1023" s="5" t="s">
        <v>22</v>
      </c>
      <c r="E1023" s="10">
        <v>1.32</v>
      </c>
      <c r="F1023" s="10">
        <v>8.0500000000000007</v>
      </c>
      <c r="G1023" s="10">
        <v>8.9700000000000006</v>
      </c>
      <c r="H1023" s="10">
        <v>2.1</v>
      </c>
      <c r="I1023" s="8">
        <f t="shared" si="49"/>
        <v>3.4636140000000002</v>
      </c>
      <c r="K1023" s="8">
        <f t="shared" si="51"/>
        <v>25.9984856346036</v>
      </c>
      <c r="L1023" s="8">
        <f t="shared" si="50"/>
        <v>12.9992428173018</v>
      </c>
    </row>
    <row r="1024" spans="1:12" x14ac:dyDescent="0.25">
      <c r="A1024" s="1">
        <v>1025</v>
      </c>
      <c r="B1024" s="1">
        <v>118</v>
      </c>
      <c r="C1024" s="3" t="s">
        <v>63</v>
      </c>
      <c r="D1024" s="5" t="s">
        <v>22</v>
      </c>
      <c r="E1024" s="10">
        <v>2.04</v>
      </c>
      <c r="F1024" s="10">
        <v>7.06</v>
      </c>
      <c r="G1024" s="10">
        <v>3.35</v>
      </c>
      <c r="H1024" s="10">
        <v>1.78</v>
      </c>
      <c r="I1024" s="8">
        <f t="shared" si="49"/>
        <v>2.4884613600000001</v>
      </c>
      <c r="K1024" s="8">
        <f t="shared" si="51"/>
        <v>3.4063620440856299</v>
      </c>
      <c r="L1024" s="8">
        <f t="shared" si="50"/>
        <v>1.703181022042815</v>
      </c>
    </row>
    <row r="1025" spans="1:12" x14ac:dyDescent="0.25">
      <c r="A1025" s="1">
        <v>1026</v>
      </c>
      <c r="B1025" s="1">
        <v>119</v>
      </c>
      <c r="C1025" s="3" t="s">
        <v>63</v>
      </c>
      <c r="D1025" s="5" t="s">
        <v>22</v>
      </c>
      <c r="E1025" s="10">
        <v>1.89</v>
      </c>
      <c r="F1025" s="10">
        <v>11.64</v>
      </c>
      <c r="G1025" s="10">
        <v>7.17</v>
      </c>
      <c r="H1025" s="10">
        <v>2.0499999999999998</v>
      </c>
      <c r="I1025" s="8">
        <f t="shared" ref="I1025:I1088" si="52">0.7854*H1025^2</f>
        <v>3.3006434999999996</v>
      </c>
      <c r="K1025" s="8">
        <f t="shared" si="51"/>
        <v>16.376633253531743</v>
      </c>
      <c r="L1025" s="8">
        <f t="shared" ref="L1025:L1088" si="53">K1025*0.5</f>
        <v>8.1883166267658716</v>
      </c>
    </row>
    <row r="1026" spans="1:12" x14ac:dyDescent="0.25">
      <c r="A1026" s="1">
        <v>1027</v>
      </c>
      <c r="B1026" s="1">
        <v>120</v>
      </c>
      <c r="C1026" s="3" t="s">
        <v>63</v>
      </c>
      <c r="D1026" s="5" t="s">
        <v>22</v>
      </c>
      <c r="E1026" s="10">
        <v>2.31</v>
      </c>
      <c r="F1026" s="10">
        <v>10.35</v>
      </c>
      <c r="G1026" s="10">
        <v>8.9</v>
      </c>
      <c r="H1026" s="10">
        <v>1.85</v>
      </c>
      <c r="I1026" s="8">
        <f t="shared" si="52"/>
        <v>2.6880315000000001</v>
      </c>
      <c r="K1026" s="8">
        <f t="shared" si="51"/>
        <v>25.581565859292851</v>
      </c>
      <c r="L1026" s="8">
        <f t="shared" si="53"/>
        <v>12.790782929646426</v>
      </c>
    </row>
    <row r="1027" spans="1:12" x14ac:dyDescent="0.25">
      <c r="A1027" s="1">
        <v>1028</v>
      </c>
      <c r="B1027" s="1">
        <v>121</v>
      </c>
      <c r="C1027" s="3" t="s">
        <v>63</v>
      </c>
      <c r="D1027" s="5" t="s">
        <v>22</v>
      </c>
      <c r="E1027" s="10">
        <v>1.65</v>
      </c>
      <c r="F1027" s="10">
        <v>5.98</v>
      </c>
      <c r="G1027" s="10">
        <v>4.4400000000000004</v>
      </c>
      <c r="H1027" s="10">
        <v>1.96</v>
      </c>
      <c r="I1027" s="8">
        <f t="shared" si="52"/>
        <v>3.0171926399999998</v>
      </c>
      <c r="K1027" s="8">
        <f t="shared" si="51"/>
        <v>6.0916592820792097</v>
      </c>
      <c r="L1027" s="8">
        <f t="shared" si="53"/>
        <v>3.0458296410396049</v>
      </c>
    </row>
    <row r="1028" spans="1:12" x14ac:dyDescent="0.25">
      <c r="A1028" s="1">
        <v>1029</v>
      </c>
      <c r="B1028" s="1">
        <v>122</v>
      </c>
      <c r="C1028" s="3" t="s">
        <v>63</v>
      </c>
      <c r="D1028" s="5" t="s">
        <v>22</v>
      </c>
      <c r="E1028" s="10">
        <v>1.54</v>
      </c>
      <c r="F1028" s="10">
        <v>11.08</v>
      </c>
      <c r="G1028" s="10">
        <v>3.85</v>
      </c>
      <c r="H1028" s="10">
        <v>1.85</v>
      </c>
      <c r="I1028" s="8">
        <f t="shared" si="52"/>
        <v>2.6880315000000001</v>
      </c>
      <c r="K1028" s="8">
        <f t="shared" si="51"/>
        <v>4.5389882756530318</v>
      </c>
      <c r="L1028" s="8">
        <f t="shared" si="53"/>
        <v>2.2694941378265159</v>
      </c>
    </row>
    <row r="1029" spans="1:12" x14ac:dyDescent="0.25">
      <c r="A1029" s="1">
        <v>1030</v>
      </c>
      <c r="B1029" s="1">
        <v>123</v>
      </c>
      <c r="C1029" s="3" t="s">
        <v>63</v>
      </c>
      <c r="D1029" s="5" t="s">
        <v>22</v>
      </c>
      <c r="E1029" s="10">
        <v>2.2200000000000002</v>
      </c>
      <c r="F1029" s="10">
        <v>8.41</v>
      </c>
      <c r="G1029" s="10">
        <v>3.73</v>
      </c>
      <c r="H1029" s="10">
        <v>2.0699999999999998</v>
      </c>
      <c r="I1029" s="8">
        <f t="shared" si="52"/>
        <v>3.3653604599999993</v>
      </c>
      <c r="K1029" s="8">
        <f t="shared" si="51"/>
        <v>4.251889996226927</v>
      </c>
      <c r="L1029" s="8">
        <f t="shared" si="53"/>
        <v>2.1259449981134635</v>
      </c>
    </row>
    <row r="1030" spans="1:12" x14ac:dyDescent="0.25">
      <c r="A1030" s="1">
        <v>1031</v>
      </c>
      <c r="B1030" s="1">
        <v>124</v>
      </c>
      <c r="C1030" s="3" t="s">
        <v>63</v>
      </c>
      <c r="D1030" s="5" t="s">
        <v>22</v>
      </c>
      <c r="E1030" s="10">
        <v>1.68</v>
      </c>
      <c r="F1030" s="10">
        <v>11.26</v>
      </c>
      <c r="G1030" s="10">
        <v>4.82</v>
      </c>
      <c r="H1030" s="10">
        <v>1.75</v>
      </c>
      <c r="I1030" s="8">
        <f t="shared" si="52"/>
        <v>2.4052875</v>
      </c>
      <c r="K1030" s="8">
        <f t="shared" si="51"/>
        <v>7.2165297945497864</v>
      </c>
      <c r="L1030" s="8">
        <f t="shared" si="53"/>
        <v>3.6082648972748932</v>
      </c>
    </row>
    <row r="1031" spans="1:12" x14ac:dyDescent="0.25">
      <c r="A1031" s="1">
        <v>1032</v>
      </c>
      <c r="B1031" s="1">
        <v>125</v>
      </c>
      <c r="C1031" s="3" t="s">
        <v>63</v>
      </c>
      <c r="D1031" s="5" t="s">
        <v>22</v>
      </c>
      <c r="E1031" s="10">
        <v>1.74</v>
      </c>
      <c r="F1031" s="10">
        <v>10.6</v>
      </c>
      <c r="G1031" s="10">
        <v>3.61</v>
      </c>
      <c r="H1031" s="10">
        <v>1.74</v>
      </c>
      <c r="I1031" s="8">
        <f t="shared" si="52"/>
        <v>2.37787704</v>
      </c>
      <c r="K1031" s="8">
        <f t="shared" si="51"/>
        <v>3.9744492584101887</v>
      </c>
      <c r="L1031" s="8">
        <f t="shared" si="53"/>
        <v>1.9872246292050944</v>
      </c>
    </row>
    <row r="1032" spans="1:12" x14ac:dyDescent="0.25">
      <c r="A1032" s="1">
        <v>1033</v>
      </c>
      <c r="B1032" s="1">
        <v>126</v>
      </c>
      <c r="C1032" s="3" t="s">
        <v>63</v>
      </c>
      <c r="D1032" s="5" t="s">
        <v>22</v>
      </c>
      <c r="E1032" s="10">
        <v>1.6</v>
      </c>
      <c r="F1032" s="10">
        <v>7.98</v>
      </c>
      <c r="G1032" s="10">
        <v>7.15</v>
      </c>
      <c r="H1032" s="10">
        <v>1.73</v>
      </c>
      <c r="I1032" s="8">
        <f t="shared" si="52"/>
        <v>2.3506236600000001</v>
      </c>
      <c r="K1032" s="8">
        <f t="shared" si="51"/>
        <v>16.282510348420868</v>
      </c>
      <c r="L1032" s="8">
        <f t="shared" si="53"/>
        <v>8.1412551742104338</v>
      </c>
    </row>
    <row r="1033" spans="1:12" x14ac:dyDescent="0.25">
      <c r="A1033" s="1">
        <v>1034</v>
      </c>
      <c r="B1033" s="1">
        <v>127</v>
      </c>
      <c r="C1033" s="3" t="s">
        <v>63</v>
      </c>
      <c r="D1033" s="5" t="s">
        <v>22</v>
      </c>
      <c r="E1033" s="10">
        <v>1.58</v>
      </c>
      <c r="F1033" s="10">
        <v>5.16</v>
      </c>
      <c r="G1033" s="10">
        <v>3.37</v>
      </c>
      <c r="H1033" s="10">
        <v>1.77</v>
      </c>
      <c r="I1033" s="8">
        <f t="shared" si="52"/>
        <v>2.4605796600000001</v>
      </c>
      <c r="K1033" s="8">
        <f t="shared" si="51"/>
        <v>3.4484596287737599</v>
      </c>
      <c r="L1033" s="8">
        <f t="shared" si="53"/>
        <v>1.7242298143868799</v>
      </c>
    </row>
    <row r="1034" spans="1:12" x14ac:dyDescent="0.25">
      <c r="A1034" s="1">
        <v>1035</v>
      </c>
      <c r="B1034" s="1">
        <v>128</v>
      </c>
      <c r="C1034" s="3" t="s">
        <v>63</v>
      </c>
      <c r="D1034" s="5" t="s">
        <v>22</v>
      </c>
      <c r="E1034" s="10">
        <v>2</v>
      </c>
      <c r="F1034" s="10">
        <v>6.88</v>
      </c>
      <c r="G1034" s="10">
        <v>6.06</v>
      </c>
      <c r="H1034" s="10">
        <v>1.86</v>
      </c>
      <c r="I1034" s="8">
        <f t="shared" si="52"/>
        <v>2.7171698400000004</v>
      </c>
      <c r="K1034" s="8">
        <f t="shared" si="51"/>
        <v>11.574256578126677</v>
      </c>
      <c r="L1034" s="8">
        <f t="shared" si="53"/>
        <v>5.7871282890633386</v>
      </c>
    </row>
    <row r="1035" spans="1:12" x14ac:dyDescent="0.25">
      <c r="A1035" s="1">
        <v>1036</v>
      </c>
      <c r="B1035" s="1">
        <v>129</v>
      </c>
      <c r="C1035" s="3" t="s">
        <v>63</v>
      </c>
      <c r="D1035" s="5" t="s">
        <v>22</v>
      </c>
      <c r="E1035" s="10">
        <v>1.92</v>
      </c>
      <c r="F1035" s="10">
        <v>8.7899999999999991</v>
      </c>
      <c r="G1035" s="10">
        <v>8.98</v>
      </c>
      <c r="H1035" s="10">
        <v>1.76</v>
      </c>
      <c r="I1035" s="8">
        <f t="shared" si="52"/>
        <v>2.4328550399999997</v>
      </c>
      <c r="K1035" s="8">
        <f t="shared" si="51"/>
        <v>26.058329200735177</v>
      </c>
      <c r="L1035" s="8">
        <f t="shared" si="53"/>
        <v>13.029164600367588</v>
      </c>
    </row>
    <row r="1036" spans="1:12" x14ac:dyDescent="0.25">
      <c r="A1036" s="1">
        <v>1037</v>
      </c>
      <c r="B1036" s="1">
        <v>130</v>
      </c>
      <c r="C1036" s="3" t="s">
        <v>63</v>
      </c>
      <c r="D1036" s="5" t="s">
        <v>22</v>
      </c>
      <c r="E1036" s="10">
        <v>1.41</v>
      </c>
      <c r="F1036" s="10">
        <v>9.43</v>
      </c>
      <c r="G1036" s="10">
        <v>7.88</v>
      </c>
      <c r="H1036" s="10">
        <v>1.89</v>
      </c>
      <c r="I1036" s="8">
        <f t="shared" si="52"/>
        <v>2.8055273399999998</v>
      </c>
      <c r="K1036" s="8">
        <f t="shared" ref="K1036:K1099" si="54">0.2811*G1036^2.0635</f>
        <v>19.899524332705678</v>
      </c>
      <c r="L1036" s="8">
        <f t="shared" si="53"/>
        <v>9.9497621663528388</v>
      </c>
    </row>
    <row r="1037" spans="1:12" x14ac:dyDescent="0.25">
      <c r="A1037" s="1">
        <v>1038</v>
      </c>
      <c r="B1037" s="1">
        <v>131</v>
      </c>
      <c r="C1037" s="3" t="s">
        <v>63</v>
      </c>
      <c r="D1037" s="5" t="s">
        <v>22</v>
      </c>
      <c r="E1037" s="10">
        <v>1.87</v>
      </c>
      <c r="F1037" s="10">
        <v>6.81</v>
      </c>
      <c r="G1037" s="10">
        <v>6.69</v>
      </c>
      <c r="H1037" s="10">
        <v>1.89</v>
      </c>
      <c r="I1037" s="8">
        <f t="shared" si="52"/>
        <v>2.8055273399999998</v>
      </c>
      <c r="K1037" s="8">
        <f t="shared" si="54"/>
        <v>14.194746455341846</v>
      </c>
      <c r="L1037" s="8">
        <f t="shared" si="53"/>
        <v>7.0973732276709232</v>
      </c>
    </row>
    <row r="1038" spans="1:12" x14ac:dyDescent="0.25">
      <c r="A1038" s="1">
        <v>1039</v>
      </c>
      <c r="B1038" s="1">
        <v>132</v>
      </c>
      <c r="C1038" s="3" t="s">
        <v>63</v>
      </c>
      <c r="D1038" s="5" t="s">
        <v>22</v>
      </c>
      <c r="E1038" s="10">
        <v>1.47</v>
      </c>
      <c r="F1038" s="10">
        <v>5.98</v>
      </c>
      <c r="G1038" s="10">
        <v>4.84</v>
      </c>
      <c r="H1038" s="10">
        <v>1.98</v>
      </c>
      <c r="I1038" s="8">
        <f t="shared" si="52"/>
        <v>3.07908216</v>
      </c>
      <c r="K1038" s="8">
        <f t="shared" si="54"/>
        <v>7.2784558060364803</v>
      </c>
      <c r="L1038" s="8">
        <f t="shared" si="53"/>
        <v>3.6392279030182402</v>
      </c>
    </row>
    <row r="1039" spans="1:12" x14ac:dyDescent="0.25">
      <c r="A1039" s="1">
        <v>1040</v>
      </c>
      <c r="B1039" s="1">
        <v>133</v>
      </c>
      <c r="C1039" s="3" t="s">
        <v>63</v>
      </c>
      <c r="D1039" s="5" t="s">
        <v>22</v>
      </c>
      <c r="E1039" s="10">
        <v>1.49</v>
      </c>
      <c r="F1039" s="10">
        <v>10.84</v>
      </c>
      <c r="G1039" s="10">
        <v>6.74</v>
      </c>
      <c r="H1039" s="10">
        <v>1.83</v>
      </c>
      <c r="I1039" s="8">
        <f t="shared" si="52"/>
        <v>2.6302260600000005</v>
      </c>
      <c r="K1039" s="8">
        <f t="shared" si="54"/>
        <v>14.414531850509796</v>
      </c>
      <c r="L1039" s="8">
        <f t="shared" si="53"/>
        <v>7.2072659252548981</v>
      </c>
    </row>
    <row r="1040" spans="1:12" x14ac:dyDescent="0.25">
      <c r="A1040" s="1">
        <v>1041</v>
      </c>
      <c r="B1040" s="1">
        <v>134</v>
      </c>
      <c r="C1040" s="3" t="s">
        <v>63</v>
      </c>
      <c r="D1040" s="5" t="s">
        <v>22</v>
      </c>
      <c r="E1040" s="10">
        <v>1.93</v>
      </c>
      <c r="F1040" s="10">
        <v>11.89</v>
      </c>
      <c r="G1040" s="10">
        <v>6.16</v>
      </c>
      <c r="H1040" s="10">
        <v>1.87</v>
      </c>
      <c r="I1040" s="8">
        <f t="shared" si="52"/>
        <v>2.7464652600000004</v>
      </c>
      <c r="K1040" s="8">
        <f t="shared" si="54"/>
        <v>11.971832864921979</v>
      </c>
      <c r="L1040" s="8">
        <f t="shared" si="53"/>
        <v>5.9859164324609893</v>
      </c>
    </row>
    <row r="1041" spans="1:12" x14ac:dyDescent="0.25">
      <c r="A1041" s="1">
        <v>1042</v>
      </c>
      <c r="B1041" s="1">
        <v>135</v>
      </c>
      <c r="C1041" s="3" t="s">
        <v>63</v>
      </c>
      <c r="D1041" s="5" t="s">
        <v>22</v>
      </c>
      <c r="E1041" s="10">
        <v>1.49</v>
      </c>
      <c r="F1041" s="10">
        <v>8.68</v>
      </c>
      <c r="G1041" s="10">
        <v>5.56</v>
      </c>
      <c r="H1041" s="10">
        <v>1.88</v>
      </c>
      <c r="I1041" s="8">
        <f t="shared" si="52"/>
        <v>2.7759177599999996</v>
      </c>
      <c r="K1041" s="8">
        <f t="shared" si="54"/>
        <v>9.6899754787817987</v>
      </c>
      <c r="L1041" s="8">
        <f t="shared" si="53"/>
        <v>4.8449877393908993</v>
      </c>
    </row>
    <row r="1042" spans="1:12" x14ac:dyDescent="0.25">
      <c r="A1042" s="1">
        <v>1043</v>
      </c>
      <c r="B1042" s="1">
        <v>136</v>
      </c>
      <c r="C1042" s="3" t="s">
        <v>63</v>
      </c>
      <c r="D1042" s="5" t="s">
        <v>22</v>
      </c>
      <c r="E1042" s="10">
        <v>1.36</v>
      </c>
      <c r="F1042" s="10">
        <v>6.2</v>
      </c>
      <c r="G1042" s="10">
        <v>3.78</v>
      </c>
      <c r="H1042" s="10">
        <v>2.06</v>
      </c>
      <c r="I1042" s="8">
        <f t="shared" si="52"/>
        <v>3.3329234399999996</v>
      </c>
      <c r="K1042" s="8">
        <f t="shared" si="54"/>
        <v>4.3703394909441089</v>
      </c>
      <c r="L1042" s="8">
        <f t="shared" si="53"/>
        <v>2.1851697454720544</v>
      </c>
    </row>
    <row r="1043" spans="1:12" x14ac:dyDescent="0.25">
      <c r="A1043" s="1">
        <v>1044</v>
      </c>
      <c r="B1043" s="1">
        <v>137</v>
      </c>
      <c r="C1043" s="3" t="s">
        <v>63</v>
      </c>
      <c r="D1043" s="5" t="s">
        <v>22</v>
      </c>
      <c r="E1043" s="10">
        <v>1.33</v>
      </c>
      <c r="F1043" s="10">
        <v>6.91</v>
      </c>
      <c r="G1043" s="10">
        <v>8.32</v>
      </c>
      <c r="H1043" s="10">
        <v>1.95</v>
      </c>
      <c r="I1043" s="8">
        <f t="shared" si="52"/>
        <v>2.9864834999999998</v>
      </c>
      <c r="K1043" s="8">
        <f t="shared" si="54"/>
        <v>22.260521244728711</v>
      </c>
      <c r="L1043" s="8">
        <f t="shared" si="53"/>
        <v>11.130260622364355</v>
      </c>
    </row>
    <row r="1044" spans="1:12" x14ac:dyDescent="0.25">
      <c r="A1044" s="1">
        <v>1045</v>
      </c>
      <c r="B1044" s="1">
        <v>138</v>
      </c>
      <c r="C1044" s="3" t="s">
        <v>63</v>
      </c>
      <c r="D1044" s="5" t="s">
        <v>22</v>
      </c>
      <c r="E1044" s="10">
        <v>1.58</v>
      </c>
      <c r="F1044" s="10">
        <v>5.13</v>
      </c>
      <c r="G1044" s="10">
        <v>5.7</v>
      </c>
      <c r="H1044" s="10">
        <v>1.77</v>
      </c>
      <c r="I1044" s="8">
        <f t="shared" si="52"/>
        <v>2.4605796600000001</v>
      </c>
      <c r="K1044" s="8">
        <f t="shared" si="54"/>
        <v>10.200198192245225</v>
      </c>
      <c r="L1044" s="8">
        <f t="shared" si="53"/>
        <v>5.1000990961226123</v>
      </c>
    </row>
    <row r="1045" spans="1:12" x14ac:dyDescent="0.25">
      <c r="A1045" s="1">
        <v>1046</v>
      </c>
      <c r="B1045" s="1">
        <v>139</v>
      </c>
      <c r="C1045" s="3" t="s">
        <v>63</v>
      </c>
      <c r="D1045" s="5" t="s">
        <v>22</v>
      </c>
      <c r="E1045" s="10">
        <v>1.93</v>
      </c>
      <c r="F1045" s="10">
        <v>11.4</v>
      </c>
      <c r="G1045" s="10">
        <v>4.17</v>
      </c>
      <c r="H1045" s="10">
        <v>1.92</v>
      </c>
      <c r="I1045" s="8">
        <f t="shared" si="52"/>
        <v>2.8952985600000001</v>
      </c>
      <c r="K1045" s="8">
        <f t="shared" si="54"/>
        <v>5.3519444251195925</v>
      </c>
      <c r="L1045" s="8">
        <f t="shared" si="53"/>
        <v>2.6759722125597962</v>
      </c>
    </row>
    <row r="1046" spans="1:12" x14ac:dyDescent="0.25">
      <c r="A1046" s="1">
        <v>1047</v>
      </c>
      <c r="B1046" s="1">
        <v>140</v>
      </c>
      <c r="C1046" s="3" t="s">
        <v>63</v>
      </c>
      <c r="D1046" s="5" t="s">
        <v>22</v>
      </c>
      <c r="E1046" s="10">
        <v>2.11</v>
      </c>
      <c r="F1046" s="10">
        <v>5.82</v>
      </c>
      <c r="G1046" s="10">
        <v>5.21</v>
      </c>
      <c r="H1046" s="10">
        <v>1.87</v>
      </c>
      <c r="I1046" s="8">
        <f t="shared" si="52"/>
        <v>2.7464652600000004</v>
      </c>
      <c r="K1046" s="8">
        <f t="shared" si="54"/>
        <v>8.4733566706946757</v>
      </c>
      <c r="L1046" s="8">
        <f t="shared" si="53"/>
        <v>4.2366783353473378</v>
      </c>
    </row>
    <row r="1047" spans="1:12" x14ac:dyDescent="0.25">
      <c r="A1047" s="1">
        <v>1048</v>
      </c>
      <c r="B1047" s="1">
        <v>141</v>
      </c>
      <c r="C1047" s="3" t="s">
        <v>63</v>
      </c>
      <c r="D1047" s="5" t="s">
        <v>22</v>
      </c>
      <c r="E1047" s="10">
        <v>1.26</v>
      </c>
      <c r="F1047" s="10">
        <v>9.0399999999999991</v>
      </c>
      <c r="G1047" s="10">
        <v>5.48</v>
      </c>
      <c r="H1047" s="10">
        <v>1.85</v>
      </c>
      <c r="I1047" s="8">
        <f t="shared" si="52"/>
        <v>2.6880315000000001</v>
      </c>
      <c r="K1047" s="8">
        <f t="shared" si="54"/>
        <v>9.4044743881245711</v>
      </c>
      <c r="L1047" s="8">
        <f t="shared" si="53"/>
        <v>4.7022371940622856</v>
      </c>
    </row>
    <row r="1048" spans="1:12" x14ac:dyDescent="0.25">
      <c r="A1048" s="1">
        <v>1049</v>
      </c>
      <c r="B1048" s="1">
        <v>142</v>
      </c>
      <c r="C1048" s="3" t="s">
        <v>63</v>
      </c>
      <c r="D1048" s="5" t="s">
        <v>22</v>
      </c>
      <c r="E1048" s="10">
        <v>1.7</v>
      </c>
      <c r="F1048" s="10">
        <v>6.92</v>
      </c>
      <c r="G1048" s="10">
        <v>7.97</v>
      </c>
      <c r="H1048" s="10">
        <v>1.84</v>
      </c>
      <c r="I1048" s="8">
        <f t="shared" si="52"/>
        <v>2.65905024</v>
      </c>
      <c r="K1048" s="8">
        <f t="shared" si="54"/>
        <v>20.371363197636004</v>
      </c>
      <c r="L1048" s="8">
        <f t="shared" si="53"/>
        <v>10.185681598818002</v>
      </c>
    </row>
    <row r="1049" spans="1:12" x14ac:dyDescent="0.25">
      <c r="A1049" s="1">
        <v>1050</v>
      </c>
      <c r="B1049" s="1">
        <v>143</v>
      </c>
      <c r="C1049" s="3" t="s">
        <v>63</v>
      </c>
      <c r="D1049" s="5" t="s">
        <v>22</v>
      </c>
      <c r="E1049" s="10">
        <v>1.71</v>
      </c>
      <c r="F1049" s="10">
        <v>8.8800000000000008</v>
      </c>
      <c r="G1049" s="10">
        <v>7.4</v>
      </c>
      <c r="H1049" s="10">
        <v>2.04</v>
      </c>
      <c r="I1049" s="8">
        <f t="shared" si="52"/>
        <v>3.2685206399999998</v>
      </c>
      <c r="K1049" s="8">
        <f t="shared" si="54"/>
        <v>17.479157644004008</v>
      </c>
      <c r="L1049" s="8">
        <f t="shared" si="53"/>
        <v>8.7395788220020041</v>
      </c>
    </row>
    <row r="1050" spans="1:12" x14ac:dyDescent="0.25">
      <c r="A1050" s="1">
        <v>1051</v>
      </c>
      <c r="B1050" s="1">
        <v>144</v>
      </c>
      <c r="C1050" s="3" t="s">
        <v>63</v>
      </c>
      <c r="D1050" s="5" t="s">
        <v>22</v>
      </c>
      <c r="E1050" s="10">
        <v>1.2</v>
      </c>
      <c r="F1050" s="10">
        <v>9.56</v>
      </c>
      <c r="G1050" s="10">
        <v>7.62</v>
      </c>
      <c r="H1050" s="10">
        <v>1.75</v>
      </c>
      <c r="I1050" s="8">
        <f t="shared" si="52"/>
        <v>2.4052875</v>
      </c>
      <c r="K1050" s="8">
        <f t="shared" si="54"/>
        <v>18.568419062786223</v>
      </c>
      <c r="L1050" s="8">
        <f t="shared" si="53"/>
        <v>9.2842095313931114</v>
      </c>
    </row>
    <row r="1051" spans="1:12" x14ac:dyDescent="0.25">
      <c r="A1051" s="1">
        <v>1052</v>
      </c>
      <c r="B1051" s="1">
        <v>145</v>
      </c>
      <c r="C1051" s="3" t="s">
        <v>63</v>
      </c>
      <c r="D1051" s="5" t="s">
        <v>22</v>
      </c>
      <c r="E1051" s="10">
        <v>1.1399999999999999</v>
      </c>
      <c r="F1051" s="10">
        <v>10.81</v>
      </c>
      <c r="G1051" s="10">
        <v>3.07</v>
      </c>
      <c r="H1051" s="10">
        <v>1.73</v>
      </c>
      <c r="I1051" s="8">
        <f t="shared" si="52"/>
        <v>2.3506236600000001</v>
      </c>
      <c r="K1051" s="8">
        <f t="shared" si="54"/>
        <v>2.844925404258063</v>
      </c>
      <c r="L1051" s="8">
        <f t="shared" si="53"/>
        <v>1.4224627021290315</v>
      </c>
    </row>
    <row r="1052" spans="1:12" x14ac:dyDescent="0.25">
      <c r="A1052" s="1">
        <v>1053</v>
      </c>
      <c r="B1052" s="1">
        <v>146</v>
      </c>
      <c r="C1052" s="3" t="s">
        <v>63</v>
      </c>
      <c r="D1052" s="5" t="s">
        <v>22</v>
      </c>
      <c r="E1052" s="10">
        <v>1.86</v>
      </c>
      <c r="F1052" s="10">
        <v>6.44</v>
      </c>
      <c r="G1052" s="10">
        <v>5.5</v>
      </c>
      <c r="H1052" s="10">
        <v>1.69</v>
      </c>
      <c r="I1052" s="8">
        <f t="shared" si="52"/>
        <v>2.2431809399999998</v>
      </c>
      <c r="K1052" s="8">
        <f t="shared" si="54"/>
        <v>9.4754371514873696</v>
      </c>
      <c r="L1052" s="8">
        <f t="shared" si="53"/>
        <v>4.7377185757436848</v>
      </c>
    </row>
    <row r="1053" spans="1:12" x14ac:dyDescent="0.25">
      <c r="A1053" s="1">
        <v>1054</v>
      </c>
      <c r="B1053" s="1">
        <v>147</v>
      </c>
      <c r="C1053" s="3" t="s">
        <v>63</v>
      </c>
      <c r="D1053" s="5" t="s">
        <v>22</v>
      </c>
      <c r="E1053" s="10">
        <v>2.0099999999999998</v>
      </c>
      <c r="F1053" s="10">
        <v>5.08</v>
      </c>
      <c r="G1053" s="10">
        <v>5.89</v>
      </c>
      <c r="H1053" s="10">
        <v>1.87</v>
      </c>
      <c r="I1053" s="8">
        <f t="shared" si="52"/>
        <v>2.7464652600000004</v>
      </c>
      <c r="K1053" s="8">
        <f t="shared" si="54"/>
        <v>10.914246455581218</v>
      </c>
      <c r="L1053" s="8">
        <f t="shared" si="53"/>
        <v>5.4571232277906088</v>
      </c>
    </row>
    <row r="1054" spans="1:12" x14ac:dyDescent="0.25">
      <c r="A1054" s="1">
        <v>1055</v>
      </c>
      <c r="B1054" s="1">
        <v>148</v>
      </c>
      <c r="C1054" s="3" t="s">
        <v>63</v>
      </c>
      <c r="D1054" s="5" t="s">
        <v>22</v>
      </c>
      <c r="E1054" s="10">
        <v>2.2999999999999998</v>
      </c>
      <c r="F1054" s="10">
        <v>5.96</v>
      </c>
      <c r="G1054" s="10">
        <v>3.12</v>
      </c>
      <c r="H1054" s="10">
        <v>1.72</v>
      </c>
      <c r="I1054" s="8">
        <f t="shared" si="52"/>
        <v>2.3235273599999999</v>
      </c>
      <c r="K1054" s="8">
        <f t="shared" si="54"/>
        <v>2.9413645260613577</v>
      </c>
      <c r="L1054" s="8">
        <f t="shared" si="53"/>
        <v>1.4706822630306788</v>
      </c>
    </row>
    <row r="1055" spans="1:12" x14ac:dyDescent="0.25">
      <c r="A1055" s="1">
        <v>1056</v>
      </c>
      <c r="B1055" s="1">
        <v>149</v>
      </c>
      <c r="C1055" s="3" t="s">
        <v>63</v>
      </c>
      <c r="D1055" s="5" t="s">
        <v>22</v>
      </c>
      <c r="E1055" s="10">
        <v>2.02</v>
      </c>
      <c r="F1055" s="10">
        <v>11.3</v>
      </c>
      <c r="G1055" s="10">
        <v>4.5599999999999996</v>
      </c>
      <c r="H1055" s="10">
        <v>1.7</v>
      </c>
      <c r="I1055" s="8">
        <f t="shared" si="52"/>
        <v>2.2698059999999995</v>
      </c>
      <c r="K1055" s="8">
        <f t="shared" si="54"/>
        <v>6.436278063389703</v>
      </c>
      <c r="L1055" s="8">
        <f t="shared" si="53"/>
        <v>3.2181390316948515</v>
      </c>
    </row>
    <row r="1056" spans="1:12" x14ac:dyDescent="0.25">
      <c r="A1056" s="1">
        <v>1057</v>
      </c>
      <c r="B1056" s="1">
        <v>150</v>
      </c>
      <c r="C1056" s="3" t="s">
        <v>63</v>
      </c>
      <c r="D1056" s="5" t="s">
        <v>22</v>
      </c>
      <c r="E1056" s="10">
        <v>1.5</v>
      </c>
      <c r="F1056" s="10">
        <v>11.12</v>
      </c>
      <c r="G1056" s="10">
        <v>7.56</v>
      </c>
      <c r="H1056" s="10">
        <v>2.08</v>
      </c>
      <c r="I1056" s="8">
        <f t="shared" si="52"/>
        <v>3.3979545600000005</v>
      </c>
      <c r="K1056" s="8">
        <f t="shared" si="54"/>
        <v>18.267981815450625</v>
      </c>
      <c r="L1056" s="8">
        <f t="shared" si="53"/>
        <v>9.1339909077253125</v>
      </c>
    </row>
    <row r="1057" spans="1:12" x14ac:dyDescent="0.25">
      <c r="A1057" s="1">
        <v>1058</v>
      </c>
      <c r="B1057" s="1">
        <v>151</v>
      </c>
      <c r="C1057" s="3" t="s">
        <v>63</v>
      </c>
      <c r="D1057" s="5" t="s">
        <v>22</v>
      </c>
      <c r="E1057" s="10">
        <v>1.75</v>
      </c>
      <c r="F1057" s="10">
        <v>9.18</v>
      </c>
      <c r="G1057" s="10">
        <v>3.82</v>
      </c>
      <c r="H1057" s="10">
        <v>1.78</v>
      </c>
      <c r="I1057" s="8">
        <f t="shared" si="52"/>
        <v>2.4884613600000001</v>
      </c>
      <c r="K1057" s="8">
        <f t="shared" si="54"/>
        <v>4.4663072382551334</v>
      </c>
      <c r="L1057" s="8">
        <f t="shared" si="53"/>
        <v>2.2331536191275667</v>
      </c>
    </row>
    <row r="1058" spans="1:12" x14ac:dyDescent="0.25">
      <c r="A1058" s="1">
        <v>1059</v>
      </c>
      <c r="B1058" s="1">
        <v>152</v>
      </c>
      <c r="C1058" s="3" t="s">
        <v>63</v>
      </c>
      <c r="D1058" s="5" t="s">
        <v>22</v>
      </c>
      <c r="E1058" s="10">
        <v>2.08</v>
      </c>
      <c r="F1058" s="10">
        <v>9.1999999999999993</v>
      </c>
      <c r="G1058" s="10">
        <v>6.21</v>
      </c>
      <c r="H1058" s="10">
        <v>1.9</v>
      </c>
      <c r="I1058" s="8">
        <f t="shared" si="52"/>
        <v>2.8352939999999998</v>
      </c>
      <c r="K1058" s="8">
        <f t="shared" si="54"/>
        <v>12.173216964796378</v>
      </c>
      <c r="L1058" s="8">
        <f t="shared" si="53"/>
        <v>6.086608482398189</v>
      </c>
    </row>
    <row r="1059" spans="1:12" x14ac:dyDescent="0.25">
      <c r="A1059" s="1">
        <v>1060</v>
      </c>
      <c r="B1059" s="1">
        <v>153</v>
      </c>
      <c r="C1059" s="3" t="s">
        <v>63</v>
      </c>
      <c r="D1059" s="5" t="s">
        <v>22</v>
      </c>
      <c r="E1059" s="10">
        <v>2.08</v>
      </c>
      <c r="F1059" s="10">
        <v>9.66</v>
      </c>
      <c r="G1059" s="10">
        <v>4.29</v>
      </c>
      <c r="H1059" s="10">
        <v>2.09</v>
      </c>
      <c r="I1059" s="8">
        <f t="shared" si="52"/>
        <v>3.4307057399999992</v>
      </c>
      <c r="K1059" s="8">
        <f t="shared" si="54"/>
        <v>5.674615866487918</v>
      </c>
      <c r="L1059" s="8">
        <f t="shared" si="53"/>
        <v>2.837307933243959</v>
      </c>
    </row>
    <row r="1060" spans="1:12" x14ac:dyDescent="0.25">
      <c r="A1060" s="1">
        <v>1061</v>
      </c>
      <c r="B1060" s="1">
        <v>154</v>
      </c>
      <c r="C1060" s="3" t="s">
        <v>63</v>
      </c>
      <c r="D1060" s="5" t="s">
        <v>22</v>
      </c>
      <c r="E1060" s="10">
        <v>1.51</v>
      </c>
      <c r="F1060" s="10">
        <v>6.23</v>
      </c>
      <c r="G1060" s="10">
        <v>3.07</v>
      </c>
      <c r="H1060" s="10">
        <v>1.96</v>
      </c>
      <c r="I1060" s="8">
        <f t="shared" si="52"/>
        <v>3.0171926399999998</v>
      </c>
      <c r="K1060" s="8">
        <f t="shared" si="54"/>
        <v>2.844925404258063</v>
      </c>
      <c r="L1060" s="8">
        <f t="shared" si="53"/>
        <v>1.4224627021290315</v>
      </c>
    </row>
    <row r="1061" spans="1:12" x14ac:dyDescent="0.25">
      <c r="A1061" s="1">
        <v>1062</v>
      </c>
      <c r="B1061" s="1">
        <v>155</v>
      </c>
      <c r="C1061" s="3" t="s">
        <v>63</v>
      </c>
      <c r="D1061" s="5" t="s">
        <v>22</v>
      </c>
      <c r="E1061" s="10">
        <v>1.9</v>
      </c>
      <c r="F1061" s="10">
        <v>11.4</v>
      </c>
      <c r="G1061" s="10">
        <v>4.45</v>
      </c>
      <c r="H1061" s="10">
        <v>1.84</v>
      </c>
      <c r="I1061" s="8">
        <f t="shared" si="52"/>
        <v>2.65905024</v>
      </c>
      <c r="K1061" s="8">
        <f t="shared" si="54"/>
        <v>6.1200043138042322</v>
      </c>
      <c r="L1061" s="8">
        <f t="shared" si="53"/>
        <v>3.0600021569021161</v>
      </c>
    </row>
    <row r="1062" spans="1:12" x14ac:dyDescent="0.25">
      <c r="A1062" s="1">
        <v>1063</v>
      </c>
      <c r="B1062" s="1">
        <v>156</v>
      </c>
      <c r="C1062" s="3" t="s">
        <v>63</v>
      </c>
      <c r="D1062" s="5" t="s">
        <v>22</v>
      </c>
      <c r="E1062" s="10">
        <v>1.96</v>
      </c>
      <c r="F1062" s="10">
        <v>7.93</v>
      </c>
      <c r="G1062" s="10">
        <v>8.86</v>
      </c>
      <c r="H1062" s="10">
        <v>1.76</v>
      </c>
      <c r="I1062" s="8">
        <f t="shared" si="52"/>
        <v>2.4328550399999997</v>
      </c>
      <c r="K1062" s="8">
        <f t="shared" si="54"/>
        <v>25.344885334237894</v>
      </c>
      <c r="L1062" s="8">
        <f t="shared" si="53"/>
        <v>12.672442667118947</v>
      </c>
    </row>
    <row r="1063" spans="1:12" x14ac:dyDescent="0.25">
      <c r="A1063" s="1">
        <v>1064</v>
      </c>
      <c r="B1063" s="1">
        <v>157</v>
      </c>
      <c r="C1063" s="3" t="s">
        <v>63</v>
      </c>
      <c r="D1063" s="5" t="s">
        <v>22</v>
      </c>
      <c r="E1063" s="10">
        <v>2.02</v>
      </c>
      <c r="F1063" s="10">
        <v>7.68</v>
      </c>
      <c r="G1063" s="10">
        <v>7.81</v>
      </c>
      <c r="H1063" s="10">
        <v>1.71</v>
      </c>
      <c r="I1063" s="8">
        <f t="shared" si="52"/>
        <v>2.2965881399999999</v>
      </c>
      <c r="K1063" s="8">
        <f t="shared" si="54"/>
        <v>19.536477162268547</v>
      </c>
      <c r="L1063" s="8">
        <f t="shared" si="53"/>
        <v>9.7682385811342733</v>
      </c>
    </row>
    <row r="1064" spans="1:12" x14ac:dyDescent="0.25">
      <c r="A1064" s="1">
        <v>1065</v>
      </c>
      <c r="B1064" s="1">
        <v>158</v>
      </c>
      <c r="C1064" s="3" t="s">
        <v>63</v>
      </c>
      <c r="D1064" s="5" t="s">
        <v>22</v>
      </c>
      <c r="E1064" s="10">
        <v>1.19</v>
      </c>
      <c r="F1064" s="10">
        <v>8.6300000000000008</v>
      </c>
      <c r="G1064" s="10">
        <v>8.76</v>
      </c>
      <c r="H1064" s="10">
        <v>1.92</v>
      </c>
      <c r="I1064" s="8">
        <f t="shared" si="52"/>
        <v>2.8952985600000001</v>
      </c>
      <c r="K1064" s="8">
        <f t="shared" si="54"/>
        <v>24.758143093769263</v>
      </c>
      <c r="L1064" s="8">
        <f t="shared" si="53"/>
        <v>12.379071546884632</v>
      </c>
    </row>
    <row r="1065" spans="1:12" x14ac:dyDescent="0.25">
      <c r="A1065" s="1">
        <v>1066</v>
      </c>
      <c r="B1065" s="1">
        <v>159</v>
      </c>
      <c r="C1065" s="3" t="s">
        <v>63</v>
      </c>
      <c r="D1065" s="5" t="s">
        <v>22</v>
      </c>
      <c r="E1065" s="10">
        <v>1.99</v>
      </c>
      <c r="F1065" s="10">
        <v>5.33</v>
      </c>
      <c r="G1065" s="10">
        <v>5.93</v>
      </c>
      <c r="H1065" s="10">
        <v>1.99</v>
      </c>
      <c r="I1065" s="8">
        <f t="shared" si="52"/>
        <v>3.1102625399999999</v>
      </c>
      <c r="K1065" s="8">
        <f t="shared" si="54"/>
        <v>11.067746551800935</v>
      </c>
      <c r="L1065" s="8">
        <f t="shared" si="53"/>
        <v>5.5338732759004676</v>
      </c>
    </row>
    <row r="1066" spans="1:12" x14ac:dyDescent="0.25">
      <c r="A1066" s="1">
        <v>1067</v>
      </c>
      <c r="B1066" s="1">
        <v>160</v>
      </c>
      <c r="C1066" s="3" t="s">
        <v>63</v>
      </c>
      <c r="D1066" s="5" t="s">
        <v>22</v>
      </c>
      <c r="E1066" s="10">
        <v>1.93</v>
      </c>
      <c r="F1066" s="10">
        <v>6.16</v>
      </c>
      <c r="G1066" s="10">
        <v>3.66</v>
      </c>
      <c r="H1066" s="10">
        <v>2.0099999999999998</v>
      </c>
      <c r="I1066" s="8">
        <f t="shared" si="52"/>
        <v>3.1730945399999992</v>
      </c>
      <c r="K1066" s="8">
        <f t="shared" si="54"/>
        <v>4.0888771774241404</v>
      </c>
      <c r="L1066" s="8">
        <f t="shared" si="53"/>
        <v>2.0444385887120702</v>
      </c>
    </row>
    <row r="1067" spans="1:12" x14ac:dyDescent="0.25">
      <c r="A1067" s="1">
        <v>1068</v>
      </c>
      <c r="B1067" s="1">
        <v>161</v>
      </c>
      <c r="C1067" s="3" t="s">
        <v>63</v>
      </c>
      <c r="D1067" s="5" t="s">
        <v>22</v>
      </c>
      <c r="E1067" s="10">
        <v>2.39</v>
      </c>
      <c r="F1067" s="10">
        <v>10.17</v>
      </c>
      <c r="G1067" s="10">
        <v>6.29</v>
      </c>
      <c r="H1067" s="10">
        <v>1.78</v>
      </c>
      <c r="I1067" s="8">
        <f t="shared" si="52"/>
        <v>2.4884613600000001</v>
      </c>
      <c r="K1067" s="8">
        <f t="shared" si="54"/>
        <v>12.499034087784207</v>
      </c>
      <c r="L1067" s="8">
        <f t="shared" si="53"/>
        <v>6.2495170438921033</v>
      </c>
    </row>
    <row r="1068" spans="1:12" x14ac:dyDescent="0.25">
      <c r="A1068" s="1">
        <v>1069</v>
      </c>
      <c r="B1068" s="1">
        <v>162</v>
      </c>
      <c r="C1068" s="3" t="s">
        <v>63</v>
      </c>
      <c r="D1068" s="5" t="s">
        <v>22</v>
      </c>
      <c r="E1068" s="10">
        <v>1.68</v>
      </c>
      <c r="F1068" s="10">
        <v>5.58</v>
      </c>
      <c r="G1068" s="10">
        <v>5.73</v>
      </c>
      <c r="H1068" s="10">
        <v>2.06</v>
      </c>
      <c r="I1068" s="8">
        <f t="shared" si="52"/>
        <v>3.3329234399999996</v>
      </c>
      <c r="K1068" s="8">
        <f t="shared" si="54"/>
        <v>10.311287784531066</v>
      </c>
      <c r="L1068" s="8">
        <f t="shared" si="53"/>
        <v>5.155643892265533</v>
      </c>
    </row>
    <row r="1069" spans="1:12" x14ac:dyDescent="0.25">
      <c r="A1069" s="1">
        <v>1070</v>
      </c>
      <c r="B1069" s="1">
        <v>163</v>
      </c>
      <c r="C1069" s="3" t="s">
        <v>63</v>
      </c>
      <c r="D1069" s="5" t="s">
        <v>22</v>
      </c>
      <c r="E1069" s="10">
        <v>1.17</v>
      </c>
      <c r="F1069" s="10">
        <v>9.2200000000000006</v>
      </c>
      <c r="G1069" s="10">
        <v>8.07</v>
      </c>
      <c r="H1069" s="10">
        <v>1.78</v>
      </c>
      <c r="I1069" s="8">
        <f t="shared" si="52"/>
        <v>2.4884613600000001</v>
      </c>
      <c r="K1069" s="8">
        <f t="shared" si="54"/>
        <v>20.902314816728655</v>
      </c>
      <c r="L1069" s="8">
        <f t="shared" si="53"/>
        <v>10.451157408364327</v>
      </c>
    </row>
    <row r="1070" spans="1:12" x14ac:dyDescent="0.25">
      <c r="A1070" s="1">
        <v>1071</v>
      </c>
      <c r="B1070" s="1">
        <v>164</v>
      </c>
      <c r="C1070" s="3" t="s">
        <v>63</v>
      </c>
      <c r="D1070" s="5" t="s">
        <v>22</v>
      </c>
      <c r="E1070" s="10">
        <v>1.6</v>
      </c>
      <c r="F1070" s="10">
        <v>6.72</v>
      </c>
      <c r="G1070" s="10">
        <v>3.59</v>
      </c>
      <c r="H1070" s="10">
        <v>1.73</v>
      </c>
      <c r="I1070" s="8">
        <f t="shared" si="52"/>
        <v>2.3506236600000001</v>
      </c>
      <c r="K1070" s="8">
        <f t="shared" si="54"/>
        <v>3.9291466652868774</v>
      </c>
      <c r="L1070" s="8">
        <f t="shared" si="53"/>
        <v>1.9645733326434387</v>
      </c>
    </row>
    <row r="1071" spans="1:12" x14ac:dyDescent="0.25">
      <c r="A1071" s="1">
        <v>1072</v>
      </c>
      <c r="B1071" s="1">
        <v>165</v>
      </c>
      <c r="C1071" s="3" t="s">
        <v>63</v>
      </c>
      <c r="D1071" s="5" t="s">
        <v>22</v>
      </c>
      <c r="E1071" s="10">
        <v>1.32</v>
      </c>
      <c r="F1071" s="10">
        <v>7.73</v>
      </c>
      <c r="G1071" s="10">
        <v>5.93</v>
      </c>
      <c r="H1071" s="10">
        <v>1.94</v>
      </c>
      <c r="I1071" s="8">
        <f t="shared" si="52"/>
        <v>2.9559314399999996</v>
      </c>
      <c r="K1071" s="8">
        <f t="shared" si="54"/>
        <v>11.067746551800935</v>
      </c>
      <c r="L1071" s="8">
        <f t="shared" si="53"/>
        <v>5.5338732759004676</v>
      </c>
    </row>
    <row r="1072" spans="1:12" x14ac:dyDescent="0.25">
      <c r="A1072" s="1">
        <v>1073</v>
      </c>
      <c r="B1072" s="1">
        <v>166</v>
      </c>
      <c r="C1072" s="3" t="s">
        <v>63</v>
      </c>
      <c r="D1072" s="5" t="s">
        <v>22</v>
      </c>
      <c r="E1072" s="10">
        <v>1.24</v>
      </c>
      <c r="F1072" s="10">
        <v>7.02</v>
      </c>
      <c r="G1072" s="10">
        <v>3.9</v>
      </c>
      <c r="H1072" s="10">
        <v>1.69</v>
      </c>
      <c r="I1072" s="8">
        <f t="shared" si="52"/>
        <v>2.2431809399999998</v>
      </c>
      <c r="K1072" s="8">
        <f t="shared" si="54"/>
        <v>4.6614675167816264</v>
      </c>
      <c r="L1072" s="8">
        <f t="shared" si="53"/>
        <v>2.3307337583908132</v>
      </c>
    </row>
    <row r="1073" spans="1:12" x14ac:dyDescent="0.25">
      <c r="A1073" s="1">
        <v>1074</v>
      </c>
      <c r="B1073" s="1">
        <v>167</v>
      </c>
      <c r="C1073" s="3" t="s">
        <v>63</v>
      </c>
      <c r="D1073" s="5" t="s">
        <v>22</v>
      </c>
      <c r="E1073" s="10">
        <v>1.1100000000000001</v>
      </c>
      <c r="F1073" s="10">
        <v>7.49</v>
      </c>
      <c r="G1073" s="10">
        <v>4.95</v>
      </c>
      <c r="H1073" s="10">
        <v>2.06</v>
      </c>
      <c r="I1073" s="8">
        <f t="shared" si="52"/>
        <v>3.3329234399999996</v>
      </c>
      <c r="K1073" s="8">
        <f t="shared" si="54"/>
        <v>7.6239260235624702</v>
      </c>
      <c r="L1073" s="8">
        <f t="shared" si="53"/>
        <v>3.8119630117812351</v>
      </c>
    </row>
    <row r="1074" spans="1:12" x14ac:dyDescent="0.25">
      <c r="A1074" s="1">
        <v>1075</v>
      </c>
      <c r="B1074" s="1">
        <v>168</v>
      </c>
      <c r="C1074" s="3" t="s">
        <v>63</v>
      </c>
      <c r="D1074" s="5" t="s">
        <v>22</v>
      </c>
      <c r="E1074" s="10">
        <v>1.73</v>
      </c>
      <c r="F1074" s="10">
        <v>10.029999999999999</v>
      </c>
      <c r="G1074" s="10">
        <v>7.42</v>
      </c>
      <c r="H1074" s="10">
        <v>2.09</v>
      </c>
      <c r="I1074" s="8">
        <f t="shared" si="52"/>
        <v>3.4307057399999992</v>
      </c>
      <c r="K1074" s="8">
        <f t="shared" si="54"/>
        <v>17.576779483664222</v>
      </c>
      <c r="L1074" s="8">
        <f t="shared" si="53"/>
        <v>8.7883897418321109</v>
      </c>
    </row>
    <row r="1075" spans="1:12" x14ac:dyDescent="0.25">
      <c r="A1075" s="1">
        <v>1076</v>
      </c>
      <c r="B1075" s="1">
        <v>169</v>
      </c>
      <c r="C1075" s="3" t="s">
        <v>63</v>
      </c>
      <c r="D1075" s="5" t="s">
        <v>22</v>
      </c>
      <c r="E1075" s="10">
        <v>1.83</v>
      </c>
      <c r="F1075" s="10">
        <v>7.08</v>
      </c>
      <c r="G1075" s="10">
        <v>5.86</v>
      </c>
      <c r="H1075" s="10">
        <v>1.76</v>
      </c>
      <c r="I1075" s="8">
        <f t="shared" si="52"/>
        <v>2.4328550399999997</v>
      </c>
      <c r="K1075" s="8">
        <f t="shared" si="54"/>
        <v>10.799846336597049</v>
      </c>
      <c r="L1075" s="8">
        <f t="shared" si="53"/>
        <v>5.3999231682985247</v>
      </c>
    </row>
    <row r="1076" spans="1:12" x14ac:dyDescent="0.25">
      <c r="A1076" s="1">
        <v>1077</v>
      </c>
      <c r="B1076" s="1">
        <v>170</v>
      </c>
      <c r="C1076" s="3" t="s">
        <v>63</v>
      </c>
      <c r="D1076" s="5" t="s">
        <v>22</v>
      </c>
      <c r="E1076" s="10">
        <v>1.86</v>
      </c>
      <c r="F1076" s="10">
        <v>8.9600000000000009</v>
      </c>
      <c r="G1076" s="10">
        <v>5.26</v>
      </c>
      <c r="H1076" s="10">
        <v>1.92</v>
      </c>
      <c r="I1076" s="8">
        <f t="shared" si="52"/>
        <v>2.8952985600000001</v>
      </c>
      <c r="K1076" s="8">
        <f t="shared" si="54"/>
        <v>8.6420132665037901</v>
      </c>
      <c r="L1076" s="8">
        <f t="shared" si="53"/>
        <v>4.321006633251895</v>
      </c>
    </row>
    <row r="1077" spans="1:12" x14ac:dyDescent="0.25">
      <c r="A1077" s="1">
        <v>1078</v>
      </c>
      <c r="B1077" s="1">
        <v>171</v>
      </c>
      <c r="C1077" s="3" t="s">
        <v>63</v>
      </c>
      <c r="D1077" s="5" t="s">
        <v>22</v>
      </c>
      <c r="E1077" s="10">
        <v>1.74</v>
      </c>
      <c r="F1077" s="10">
        <v>8.33</v>
      </c>
      <c r="G1077" s="10">
        <v>5.37</v>
      </c>
      <c r="H1077" s="10">
        <v>1.93</v>
      </c>
      <c r="I1077" s="8">
        <f t="shared" si="52"/>
        <v>2.92553646</v>
      </c>
      <c r="K1077" s="8">
        <f t="shared" si="54"/>
        <v>9.0190913176514442</v>
      </c>
      <c r="L1077" s="8">
        <f t="shared" si="53"/>
        <v>4.5095456588257221</v>
      </c>
    </row>
    <row r="1078" spans="1:12" x14ac:dyDescent="0.25">
      <c r="A1078" s="1">
        <v>1079</v>
      </c>
      <c r="B1078" s="1">
        <v>172</v>
      </c>
      <c r="C1078" s="3" t="s">
        <v>63</v>
      </c>
      <c r="D1078" s="5" t="s">
        <v>22</v>
      </c>
      <c r="E1078" s="10">
        <v>1.18</v>
      </c>
      <c r="F1078" s="10">
        <v>9.65</v>
      </c>
      <c r="G1078" s="10">
        <v>5.76</v>
      </c>
      <c r="H1078" s="10">
        <v>1.76</v>
      </c>
      <c r="I1078" s="8">
        <f t="shared" si="52"/>
        <v>2.4328550399999997</v>
      </c>
      <c r="K1078" s="8">
        <f t="shared" si="54"/>
        <v>10.422997657250791</v>
      </c>
      <c r="L1078" s="8">
        <f t="shared" si="53"/>
        <v>5.2114988286253956</v>
      </c>
    </row>
    <row r="1079" spans="1:12" x14ac:dyDescent="0.25">
      <c r="A1079" s="1">
        <v>1080</v>
      </c>
      <c r="B1079" s="1">
        <v>173</v>
      </c>
      <c r="C1079" s="3" t="s">
        <v>63</v>
      </c>
      <c r="D1079" s="5" t="s">
        <v>22</v>
      </c>
      <c r="E1079" s="10">
        <v>1.43</v>
      </c>
      <c r="F1079" s="10">
        <v>11.56</v>
      </c>
      <c r="G1079" s="10">
        <v>7.71</v>
      </c>
      <c r="H1079" s="10">
        <v>1.87</v>
      </c>
      <c r="I1079" s="8">
        <f t="shared" si="52"/>
        <v>2.7464652600000004</v>
      </c>
      <c r="K1079" s="8">
        <f t="shared" si="54"/>
        <v>19.023812406087085</v>
      </c>
      <c r="L1079" s="8">
        <f t="shared" si="53"/>
        <v>9.5119062030435426</v>
      </c>
    </row>
    <row r="1080" spans="1:12" x14ac:dyDescent="0.25">
      <c r="A1080" s="1">
        <v>1081</v>
      </c>
      <c r="B1080" s="1">
        <v>174</v>
      </c>
      <c r="C1080" s="3" t="s">
        <v>63</v>
      </c>
      <c r="D1080" s="5" t="s">
        <v>22</v>
      </c>
      <c r="E1080" s="10">
        <v>1.35</v>
      </c>
      <c r="F1080" s="10">
        <v>10.130000000000001</v>
      </c>
      <c r="G1080" s="10">
        <v>8.35</v>
      </c>
      <c r="H1080" s="10">
        <v>1.98</v>
      </c>
      <c r="I1080" s="8">
        <f t="shared" si="52"/>
        <v>3.07908216</v>
      </c>
      <c r="K1080" s="8">
        <f t="shared" si="54"/>
        <v>22.42646835698676</v>
      </c>
      <c r="L1080" s="8">
        <f t="shared" si="53"/>
        <v>11.21323417849338</v>
      </c>
    </row>
    <row r="1081" spans="1:12" x14ac:dyDescent="0.25">
      <c r="A1081" s="1">
        <v>1082</v>
      </c>
      <c r="B1081" s="1">
        <v>175</v>
      </c>
      <c r="C1081" s="3" t="s">
        <v>63</v>
      </c>
      <c r="D1081" s="5" t="s">
        <v>22</v>
      </c>
      <c r="E1081" s="10">
        <v>2.2200000000000002</v>
      </c>
      <c r="F1081" s="10">
        <v>6.5</v>
      </c>
      <c r="G1081" s="10">
        <v>8.73</v>
      </c>
      <c r="H1081" s="10">
        <v>2.0699999999999998</v>
      </c>
      <c r="I1081" s="8">
        <f t="shared" si="52"/>
        <v>3.3653604599999993</v>
      </c>
      <c r="K1081" s="8">
        <f t="shared" si="54"/>
        <v>24.583501313474006</v>
      </c>
      <c r="L1081" s="8">
        <f t="shared" si="53"/>
        <v>12.291750656737003</v>
      </c>
    </row>
    <row r="1082" spans="1:12" x14ac:dyDescent="0.25">
      <c r="A1082" s="1">
        <v>1083</v>
      </c>
      <c r="B1082" s="1">
        <v>176</v>
      </c>
      <c r="C1082" s="3" t="s">
        <v>63</v>
      </c>
      <c r="D1082" s="5" t="s">
        <v>22</v>
      </c>
      <c r="E1082" s="10">
        <v>1.43</v>
      </c>
      <c r="F1082" s="10">
        <v>5.22</v>
      </c>
      <c r="G1082" s="10">
        <v>7.72</v>
      </c>
      <c r="H1082" s="10">
        <v>1.99</v>
      </c>
      <c r="I1082" s="8">
        <f t="shared" si="52"/>
        <v>3.1102625399999999</v>
      </c>
      <c r="K1082" s="8">
        <f t="shared" si="54"/>
        <v>19.074762745662724</v>
      </c>
      <c r="L1082" s="8">
        <f t="shared" si="53"/>
        <v>9.5373813728313621</v>
      </c>
    </row>
    <row r="1083" spans="1:12" x14ac:dyDescent="0.25">
      <c r="A1083" s="1">
        <v>1084</v>
      </c>
      <c r="B1083" s="1">
        <v>177</v>
      </c>
      <c r="C1083" s="3" t="s">
        <v>63</v>
      </c>
      <c r="D1083" s="5" t="s">
        <v>22</v>
      </c>
      <c r="E1083" s="10">
        <v>1.21</v>
      </c>
      <c r="F1083" s="10">
        <v>6.84</v>
      </c>
      <c r="G1083" s="10">
        <v>4.8899999999999997</v>
      </c>
      <c r="H1083" s="10">
        <v>1.94</v>
      </c>
      <c r="I1083" s="8">
        <f t="shared" si="52"/>
        <v>2.9559314399999996</v>
      </c>
      <c r="K1083" s="8">
        <f t="shared" si="54"/>
        <v>7.4344642328565644</v>
      </c>
      <c r="L1083" s="8">
        <f t="shared" si="53"/>
        <v>3.7172321164282822</v>
      </c>
    </row>
    <row r="1084" spans="1:12" x14ac:dyDescent="0.25">
      <c r="A1084" s="1">
        <v>1085</v>
      </c>
      <c r="B1084" s="1">
        <v>178</v>
      </c>
      <c r="C1084" s="3" t="s">
        <v>63</v>
      </c>
      <c r="D1084" s="5" t="s">
        <v>22</v>
      </c>
      <c r="E1084" s="10">
        <v>1.95</v>
      </c>
      <c r="F1084" s="10">
        <v>9.17</v>
      </c>
      <c r="G1084" s="10">
        <v>7.13</v>
      </c>
      <c r="H1084" s="10">
        <v>2.0299999999999998</v>
      </c>
      <c r="I1084" s="8">
        <f t="shared" si="52"/>
        <v>3.2365548599999991</v>
      </c>
      <c r="K1084" s="8">
        <f t="shared" si="54"/>
        <v>16.188667026606463</v>
      </c>
      <c r="L1084" s="8">
        <f t="shared" si="53"/>
        <v>8.0943335133032317</v>
      </c>
    </row>
    <row r="1085" spans="1:12" x14ac:dyDescent="0.25">
      <c r="A1085" s="1">
        <v>1086</v>
      </c>
      <c r="B1085" s="1">
        <v>179</v>
      </c>
      <c r="C1085" s="3" t="s">
        <v>63</v>
      </c>
      <c r="D1085" s="5" t="s">
        <v>22</v>
      </c>
      <c r="E1085" s="10">
        <v>2.33</v>
      </c>
      <c r="F1085" s="10">
        <v>5.36</v>
      </c>
      <c r="G1085" s="10">
        <v>5.63</v>
      </c>
      <c r="H1085" s="10">
        <v>2.0499999999999998</v>
      </c>
      <c r="I1085" s="8">
        <f t="shared" si="52"/>
        <v>3.3006434999999996</v>
      </c>
      <c r="K1085" s="8">
        <f t="shared" si="54"/>
        <v>9.9434001821070446</v>
      </c>
      <c r="L1085" s="8">
        <f t="shared" si="53"/>
        <v>4.9717000910535223</v>
      </c>
    </row>
    <row r="1086" spans="1:12" x14ac:dyDescent="0.25">
      <c r="A1086" s="1">
        <v>1087</v>
      </c>
      <c r="B1086" s="1">
        <v>180</v>
      </c>
      <c r="C1086" s="3" t="s">
        <v>63</v>
      </c>
      <c r="D1086" s="5" t="s">
        <v>22</v>
      </c>
      <c r="E1086" s="10">
        <v>2.1800000000000002</v>
      </c>
      <c r="F1086" s="10">
        <v>8.4700000000000006</v>
      </c>
      <c r="G1086" s="10">
        <v>4.53</v>
      </c>
      <c r="H1086" s="10">
        <v>1.98</v>
      </c>
      <c r="I1086" s="8">
        <f t="shared" si="52"/>
        <v>3.07908216</v>
      </c>
      <c r="K1086" s="8">
        <f t="shared" si="54"/>
        <v>6.3492069864236145</v>
      </c>
      <c r="L1086" s="8">
        <f t="shared" si="53"/>
        <v>3.1746034932118072</v>
      </c>
    </row>
    <row r="1087" spans="1:12" x14ac:dyDescent="0.25">
      <c r="A1087" s="1">
        <v>1088</v>
      </c>
      <c r="B1087" s="1">
        <v>181</v>
      </c>
      <c r="C1087" s="3" t="s">
        <v>63</v>
      </c>
      <c r="D1087" s="5" t="s">
        <v>22</v>
      </c>
      <c r="E1087" s="10">
        <v>2.09</v>
      </c>
      <c r="F1087" s="10">
        <v>9.18</v>
      </c>
      <c r="G1087" s="10">
        <v>8.0500000000000007</v>
      </c>
      <c r="H1087" s="10">
        <v>2.0299999999999998</v>
      </c>
      <c r="I1087" s="8">
        <f t="shared" si="52"/>
        <v>3.2365548599999991</v>
      </c>
      <c r="K1087" s="8">
        <f t="shared" si="54"/>
        <v>20.795561189807074</v>
      </c>
      <c r="L1087" s="8">
        <f t="shared" si="53"/>
        <v>10.397780594903537</v>
      </c>
    </row>
    <row r="1088" spans="1:12" x14ac:dyDescent="0.25">
      <c r="A1088" s="1">
        <v>1089</v>
      </c>
      <c r="B1088" s="1">
        <v>182</v>
      </c>
      <c r="C1088" s="3" t="s">
        <v>63</v>
      </c>
      <c r="D1088" s="5" t="s">
        <v>22</v>
      </c>
      <c r="E1088" s="10">
        <v>1.38</v>
      </c>
      <c r="F1088" s="10">
        <v>7.34</v>
      </c>
      <c r="G1088" s="10">
        <v>3.23</v>
      </c>
      <c r="H1088" s="10">
        <v>2.09</v>
      </c>
      <c r="I1088" s="8">
        <f t="shared" si="52"/>
        <v>3.4307057399999992</v>
      </c>
      <c r="K1088" s="8">
        <f t="shared" si="54"/>
        <v>3.1593682575444868</v>
      </c>
      <c r="L1088" s="8">
        <f t="shared" si="53"/>
        <v>1.5796841287722434</v>
      </c>
    </row>
    <row r="1089" spans="1:12" x14ac:dyDescent="0.25">
      <c r="A1089" s="1">
        <v>1090</v>
      </c>
      <c r="B1089" s="1">
        <v>183</v>
      </c>
      <c r="C1089" s="3" t="s">
        <v>63</v>
      </c>
      <c r="D1089" s="5" t="s">
        <v>22</v>
      </c>
      <c r="E1089" s="10">
        <v>1.77</v>
      </c>
      <c r="F1089" s="10">
        <v>10.4</v>
      </c>
      <c r="G1089" s="10">
        <v>8.41</v>
      </c>
      <c r="H1089" s="10">
        <v>1.87</v>
      </c>
      <c r="I1089" s="8">
        <f t="shared" ref="I1089:I1152" si="55">0.7854*H1089^2</f>
        <v>2.7464652600000004</v>
      </c>
      <c r="K1089" s="8">
        <f t="shared" si="54"/>
        <v>22.760268597806622</v>
      </c>
      <c r="L1089" s="8">
        <f t="shared" ref="L1089:L1152" si="56">K1089*0.5</f>
        <v>11.380134298903311</v>
      </c>
    </row>
    <row r="1090" spans="1:12" x14ac:dyDescent="0.25">
      <c r="A1090" s="1">
        <v>1091</v>
      </c>
      <c r="B1090" s="1">
        <v>184</v>
      </c>
      <c r="C1090" s="3" t="s">
        <v>63</v>
      </c>
      <c r="D1090" s="5" t="s">
        <v>22</v>
      </c>
      <c r="E1090" s="10">
        <v>1.32</v>
      </c>
      <c r="F1090" s="10">
        <v>5.75</v>
      </c>
      <c r="G1090" s="10">
        <v>5.77</v>
      </c>
      <c r="H1090" s="10">
        <v>1.87</v>
      </c>
      <c r="I1090" s="8">
        <f t="shared" si="55"/>
        <v>2.7464652600000004</v>
      </c>
      <c r="K1090" s="8">
        <f t="shared" si="54"/>
        <v>10.460372157171879</v>
      </c>
      <c r="L1090" s="8">
        <f t="shared" si="56"/>
        <v>5.2301860785859393</v>
      </c>
    </row>
    <row r="1091" spans="1:12" x14ac:dyDescent="0.25">
      <c r="A1091" s="1">
        <v>1092</v>
      </c>
      <c r="B1091" s="1">
        <v>185</v>
      </c>
      <c r="C1091" s="3" t="s">
        <v>63</v>
      </c>
      <c r="D1091" s="5" t="s">
        <v>22</v>
      </c>
      <c r="E1091" s="10">
        <v>2.34</v>
      </c>
      <c r="F1091" s="10">
        <v>5.53</v>
      </c>
      <c r="G1091" s="10">
        <v>6.82</v>
      </c>
      <c r="H1091" s="10">
        <v>1.76</v>
      </c>
      <c r="I1091" s="8">
        <f t="shared" si="55"/>
        <v>2.4328550399999997</v>
      </c>
      <c r="K1091" s="8">
        <f t="shared" si="54"/>
        <v>14.769809801444969</v>
      </c>
      <c r="L1091" s="8">
        <f t="shared" si="56"/>
        <v>7.3849049007224847</v>
      </c>
    </row>
    <row r="1092" spans="1:12" x14ac:dyDescent="0.25">
      <c r="A1092" s="1">
        <v>1093</v>
      </c>
      <c r="B1092" s="1">
        <v>186</v>
      </c>
      <c r="C1092" s="3" t="s">
        <v>63</v>
      </c>
      <c r="D1092" s="5" t="s">
        <v>22</v>
      </c>
      <c r="E1092" s="10">
        <v>1.42</v>
      </c>
      <c r="F1092" s="10">
        <v>10.1</v>
      </c>
      <c r="G1092" s="10">
        <v>6.96</v>
      </c>
      <c r="H1092" s="10">
        <v>1.8</v>
      </c>
      <c r="I1092" s="8">
        <f t="shared" si="55"/>
        <v>2.5446960000000001</v>
      </c>
      <c r="K1092" s="8">
        <f t="shared" si="54"/>
        <v>15.402279905044482</v>
      </c>
      <c r="L1092" s="8">
        <f t="shared" si="56"/>
        <v>7.701139952522241</v>
      </c>
    </row>
    <row r="1093" spans="1:12" x14ac:dyDescent="0.25">
      <c r="A1093" s="1">
        <v>1094</v>
      </c>
      <c r="B1093" s="1">
        <v>187</v>
      </c>
      <c r="C1093" s="3" t="s">
        <v>63</v>
      </c>
      <c r="D1093" s="5" t="s">
        <v>22</v>
      </c>
      <c r="E1093" s="10">
        <v>2.15</v>
      </c>
      <c r="F1093" s="10">
        <v>8.4700000000000006</v>
      </c>
      <c r="G1093" s="10">
        <v>8.3699999999999992</v>
      </c>
      <c r="H1093" s="10">
        <v>1.81</v>
      </c>
      <c r="I1093" s="8">
        <f t="shared" si="55"/>
        <v>2.5730489400000001</v>
      </c>
      <c r="K1093" s="8">
        <f t="shared" si="54"/>
        <v>22.537452695403942</v>
      </c>
      <c r="L1093" s="8">
        <f t="shared" si="56"/>
        <v>11.268726347701971</v>
      </c>
    </row>
    <row r="1094" spans="1:12" x14ac:dyDescent="0.25">
      <c r="A1094" s="1">
        <v>1095</v>
      </c>
      <c r="B1094" s="1">
        <v>188</v>
      </c>
      <c r="C1094" s="3" t="s">
        <v>63</v>
      </c>
      <c r="D1094" s="5" t="s">
        <v>22</v>
      </c>
      <c r="E1094" s="10">
        <v>1.94</v>
      </c>
      <c r="F1094" s="10">
        <v>9.82</v>
      </c>
      <c r="G1094" s="10">
        <v>6.82</v>
      </c>
      <c r="H1094" s="10">
        <v>1.97</v>
      </c>
      <c r="I1094" s="8">
        <f t="shared" si="55"/>
        <v>3.0480588599999998</v>
      </c>
      <c r="K1094" s="8">
        <f t="shared" si="54"/>
        <v>14.769809801444969</v>
      </c>
      <c r="L1094" s="8">
        <f t="shared" si="56"/>
        <v>7.3849049007224847</v>
      </c>
    </row>
    <row r="1095" spans="1:12" x14ac:dyDescent="0.25">
      <c r="A1095" s="1">
        <v>1096</v>
      </c>
      <c r="B1095" s="1">
        <v>189</v>
      </c>
      <c r="C1095" s="3" t="s">
        <v>63</v>
      </c>
      <c r="D1095" s="5" t="s">
        <v>22</v>
      </c>
      <c r="E1095" s="10">
        <v>2.21</v>
      </c>
      <c r="F1095" s="10">
        <v>8.0399999999999991</v>
      </c>
      <c r="G1095" s="10">
        <v>6.68</v>
      </c>
      <c r="H1095" s="10">
        <v>2.02</v>
      </c>
      <c r="I1095" s="8">
        <f t="shared" si="55"/>
        <v>3.20474616</v>
      </c>
      <c r="K1095" s="8">
        <f t="shared" si="54"/>
        <v>14.150998206595151</v>
      </c>
      <c r="L1095" s="8">
        <f t="shared" si="56"/>
        <v>7.0754991032975756</v>
      </c>
    </row>
    <row r="1096" spans="1:12" x14ac:dyDescent="0.25">
      <c r="A1096" s="1">
        <v>1097</v>
      </c>
      <c r="B1096" s="1">
        <v>190</v>
      </c>
      <c r="C1096" s="3" t="s">
        <v>63</v>
      </c>
      <c r="D1096" s="5" t="s">
        <v>22</v>
      </c>
      <c r="E1096" s="10">
        <v>2.12</v>
      </c>
      <c r="F1096" s="10">
        <v>6.72</v>
      </c>
      <c r="G1096" s="10">
        <v>3.4</v>
      </c>
      <c r="H1096" s="10">
        <v>1.76</v>
      </c>
      <c r="I1096" s="8">
        <f t="shared" si="55"/>
        <v>2.4328550399999997</v>
      </c>
      <c r="K1096" s="8">
        <f t="shared" si="54"/>
        <v>3.5121058051934697</v>
      </c>
      <c r="L1096" s="8">
        <f t="shared" si="56"/>
        <v>1.7560529025967349</v>
      </c>
    </row>
    <row r="1097" spans="1:12" x14ac:dyDescent="0.25">
      <c r="A1097" s="1">
        <v>1098</v>
      </c>
      <c r="B1097" s="1">
        <v>191</v>
      </c>
      <c r="C1097" s="3" t="s">
        <v>63</v>
      </c>
      <c r="D1097" s="5" t="s">
        <v>22</v>
      </c>
      <c r="E1097" s="10">
        <v>1.57</v>
      </c>
      <c r="F1097" s="10">
        <v>10.73</v>
      </c>
      <c r="G1097" s="10">
        <v>6.11</v>
      </c>
      <c r="H1097" s="10">
        <v>1.96</v>
      </c>
      <c r="I1097" s="8">
        <f t="shared" si="55"/>
        <v>3.0171926399999998</v>
      </c>
      <c r="K1097" s="8">
        <f t="shared" si="54"/>
        <v>11.77217970122566</v>
      </c>
      <c r="L1097" s="8">
        <f t="shared" si="56"/>
        <v>5.8860898506128301</v>
      </c>
    </row>
    <row r="1098" spans="1:12" x14ac:dyDescent="0.25">
      <c r="A1098" s="1">
        <v>1099</v>
      </c>
      <c r="B1098" s="1">
        <v>192</v>
      </c>
      <c r="C1098" s="3" t="s">
        <v>63</v>
      </c>
      <c r="D1098" s="5" t="s">
        <v>22</v>
      </c>
      <c r="E1098" s="10">
        <v>1.1100000000000001</v>
      </c>
      <c r="F1098" s="10">
        <v>10.6</v>
      </c>
      <c r="G1098" s="10">
        <v>3.9</v>
      </c>
      <c r="H1098" s="10">
        <v>1.88</v>
      </c>
      <c r="I1098" s="8">
        <f t="shared" si="55"/>
        <v>2.7759177599999996</v>
      </c>
      <c r="K1098" s="8">
        <f t="shared" si="54"/>
        <v>4.6614675167816264</v>
      </c>
      <c r="L1098" s="8">
        <f t="shared" si="56"/>
        <v>2.3307337583908132</v>
      </c>
    </row>
    <row r="1099" spans="1:12" x14ac:dyDescent="0.25">
      <c r="A1099" s="1">
        <v>1100</v>
      </c>
      <c r="B1099" s="1">
        <v>193</v>
      </c>
      <c r="C1099" s="3" t="s">
        <v>63</v>
      </c>
      <c r="D1099" s="5" t="s">
        <v>22</v>
      </c>
      <c r="E1099" s="10">
        <v>1.59</v>
      </c>
      <c r="F1099" s="10">
        <v>9.86</v>
      </c>
      <c r="G1099" s="10">
        <v>7.42</v>
      </c>
      <c r="H1099" s="10">
        <v>1.99</v>
      </c>
      <c r="I1099" s="8">
        <f t="shared" si="55"/>
        <v>3.1102625399999999</v>
      </c>
      <c r="K1099" s="8">
        <f t="shared" si="54"/>
        <v>17.576779483664222</v>
      </c>
      <c r="L1099" s="8">
        <f t="shared" si="56"/>
        <v>8.7883897418321109</v>
      </c>
    </row>
    <row r="1100" spans="1:12" x14ac:dyDescent="0.25">
      <c r="A1100" s="1">
        <v>1101</v>
      </c>
      <c r="B1100" s="1">
        <v>194</v>
      </c>
      <c r="C1100" s="3" t="s">
        <v>63</v>
      </c>
      <c r="D1100" s="5" t="s">
        <v>22</v>
      </c>
      <c r="E1100" s="10">
        <v>1.36</v>
      </c>
      <c r="F1100" s="10">
        <v>6.91</v>
      </c>
      <c r="G1100" s="10">
        <v>6.07</v>
      </c>
      <c r="H1100" s="10">
        <v>1.8</v>
      </c>
      <c r="I1100" s="8">
        <f t="shared" si="55"/>
        <v>2.5446960000000001</v>
      </c>
      <c r="K1100" s="8">
        <f t="shared" ref="K1100:K1163" si="57">0.2811*G1100^2.0635</f>
        <v>11.613702842717188</v>
      </c>
      <c r="L1100" s="8">
        <f t="shared" si="56"/>
        <v>5.8068514213585942</v>
      </c>
    </row>
    <row r="1101" spans="1:12" x14ac:dyDescent="0.25">
      <c r="A1101" s="1">
        <v>1102</v>
      </c>
      <c r="B1101" s="1">
        <v>195</v>
      </c>
      <c r="C1101" s="3" t="s">
        <v>63</v>
      </c>
      <c r="D1101" s="5" t="s">
        <v>22</v>
      </c>
      <c r="E1101" s="10">
        <v>1.58</v>
      </c>
      <c r="F1101" s="10">
        <v>9.1300000000000008</v>
      </c>
      <c r="G1101" s="10">
        <v>7.08</v>
      </c>
      <c r="H1101" s="10">
        <v>1.72</v>
      </c>
      <c r="I1101" s="8">
        <f t="shared" si="55"/>
        <v>2.3235273599999999</v>
      </c>
      <c r="K1101" s="8">
        <f t="shared" si="57"/>
        <v>15.955281572347081</v>
      </c>
      <c r="L1101" s="8">
        <f t="shared" si="56"/>
        <v>7.9776407861735406</v>
      </c>
    </row>
    <row r="1102" spans="1:12" x14ac:dyDescent="0.25">
      <c r="A1102" s="1">
        <v>1103</v>
      </c>
      <c r="B1102" s="1">
        <v>196</v>
      </c>
      <c r="C1102" s="3" t="s">
        <v>63</v>
      </c>
      <c r="D1102" s="5" t="s">
        <v>22</v>
      </c>
      <c r="E1102" s="10">
        <v>1.31</v>
      </c>
      <c r="F1102" s="10">
        <v>7.53</v>
      </c>
      <c r="G1102" s="10">
        <v>3.25</v>
      </c>
      <c r="H1102" s="10">
        <v>1.81</v>
      </c>
      <c r="I1102" s="8">
        <f t="shared" si="55"/>
        <v>2.5730489400000001</v>
      </c>
      <c r="K1102" s="8">
        <f t="shared" si="57"/>
        <v>3.1998687197350622</v>
      </c>
      <c r="L1102" s="8">
        <f t="shared" si="56"/>
        <v>1.5999343598675311</v>
      </c>
    </row>
    <row r="1103" spans="1:12" x14ac:dyDescent="0.25">
      <c r="A1103" s="1">
        <v>1104</v>
      </c>
      <c r="B1103" s="1">
        <v>197</v>
      </c>
      <c r="C1103" s="3" t="s">
        <v>63</v>
      </c>
      <c r="D1103" s="5" t="s">
        <v>22</v>
      </c>
      <c r="E1103" s="10">
        <v>2.16</v>
      </c>
      <c r="F1103" s="10">
        <v>5.64</v>
      </c>
      <c r="G1103" s="10">
        <v>3.51</v>
      </c>
      <c r="H1103" s="10">
        <v>1.87</v>
      </c>
      <c r="I1103" s="8">
        <f t="shared" si="55"/>
        <v>2.7464652600000004</v>
      </c>
      <c r="K1103" s="8">
        <f t="shared" si="57"/>
        <v>3.7506114959143617</v>
      </c>
      <c r="L1103" s="8">
        <f t="shared" si="56"/>
        <v>1.8753057479571809</v>
      </c>
    </row>
    <row r="1104" spans="1:12" x14ac:dyDescent="0.25">
      <c r="A1104" s="1">
        <v>1105</v>
      </c>
      <c r="B1104" s="1">
        <v>198</v>
      </c>
      <c r="C1104" s="3" t="s">
        <v>63</v>
      </c>
      <c r="D1104" s="5" t="s">
        <v>22</v>
      </c>
      <c r="E1104" s="10">
        <v>1.37</v>
      </c>
      <c r="F1104" s="10">
        <v>11.42</v>
      </c>
      <c r="G1104" s="10">
        <v>7.3</v>
      </c>
      <c r="H1104" s="10">
        <v>1.92</v>
      </c>
      <c r="I1104" s="8">
        <f t="shared" si="55"/>
        <v>2.8952985600000001</v>
      </c>
      <c r="K1104" s="8">
        <f t="shared" si="57"/>
        <v>16.995250392557484</v>
      </c>
      <c r="L1104" s="8">
        <f t="shared" si="56"/>
        <v>8.4976251962787419</v>
      </c>
    </row>
    <row r="1105" spans="1:12" x14ac:dyDescent="0.25">
      <c r="A1105" s="1">
        <v>1106</v>
      </c>
      <c r="B1105" s="1">
        <v>199</v>
      </c>
      <c r="C1105" s="3" t="s">
        <v>63</v>
      </c>
      <c r="D1105" s="5" t="s">
        <v>22</v>
      </c>
      <c r="E1105" s="10">
        <v>1.54</v>
      </c>
      <c r="F1105" s="10">
        <v>5.96</v>
      </c>
      <c r="G1105" s="10">
        <v>3.43</v>
      </c>
      <c r="H1105" s="10">
        <v>1.85</v>
      </c>
      <c r="I1105" s="8">
        <f t="shared" si="55"/>
        <v>2.6880315000000001</v>
      </c>
      <c r="K1105" s="8">
        <f t="shared" si="57"/>
        <v>3.5763520407682896</v>
      </c>
      <c r="L1105" s="8">
        <f t="shared" si="56"/>
        <v>1.7881760203841448</v>
      </c>
    </row>
    <row r="1106" spans="1:12" x14ac:dyDescent="0.25">
      <c r="A1106" s="1">
        <v>1107</v>
      </c>
      <c r="B1106" s="1">
        <v>200</v>
      </c>
      <c r="C1106" s="3" t="s">
        <v>63</v>
      </c>
      <c r="D1106" s="5" t="s">
        <v>22</v>
      </c>
      <c r="E1106" s="10">
        <v>1.63</v>
      </c>
      <c r="F1106" s="10">
        <v>11.65</v>
      </c>
      <c r="G1106" s="10">
        <v>8</v>
      </c>
      <c r="H1106" s="10">
        <v>2.08</v>
      </c>
      <c r="I1106" s="8">
        <f t="shared" si="55"/>
        <v>3.3979545600000005</v>
      </c>
      <c r="K1106" s="8">
        <f t="shared" si="57"/>
        <v>20.52990944556926</v>
      </c>
      <c r="L1106" s="8">
        <f t="shared" si="56"/>
        <v>10.26495472278463</v>
      </c>
    </row>
    <row r="1107" spans="1:12" x14ac:dyDescent="0.25">
      <c r="A1107" s="1">
        <v>1108</v>
      </c>
      <c r="B1107" s="1">
        <v>201</v>
      </c>
      <c r="C1107" s="3" t="s">
        <v>63</v>
      </c>
      <c r="D1107" s="5" t="s">
        <v>22</v>
      </c>
      <c r="E1107" s="10">
        <v>1.57</v>
      </c>
      <c r="F1107" s="10">
        <v>8.1199999999999992</v>
      </c>
      <c r="G1107" s="10">
        <v>3.07</v>
      </c>
      <c r="H1107" s="10">
        <v>2.02</v>
      </c>
      <c r="I1107" s="8">
        <f t="shared" si="55"/>
        <v>3.20474616</v>
      </c>
      <c r="K1107" s="8">
        <f t="shared" si="57"/>
        <v>2.844925404258063</v>
      </c>
      <c r="L1107" s="8">
        <f t="shared" si="56"/>
        <v>1.4224627021290315</v>
      </c>
    </row>
    <row r="1108" spans="1:12" x14ac:dyDescent="0.25">
      <c r="A1108" s="1">
        <v>1109</v>
      </c>
      <c r="B1108" s="1">
        <v>202</v>
      </c>
      <c r="C1108" s="3" t="s">
        <v>63</v>
      </c>
      <c r="D1108" s="5" t="s">
        <v>22</v>
      </c>
      <c r="E1108" s="10">
        <v>1.28</v>
      </c>
      <c r="F1108" s="10">
        <v>6.3</v>
      </c>
      <c r="G1108" s="10">
        <v>8.74</v>
      </c>
      <c r="H1108" s="10">
        <v>1.82</v>
      </c>
      <c r="I1108" s="8">
        <f t="shared" si="55"/>
        <v>2.6015589600000002</v>
      </c>
      <c r="K1108" s="8">
        <f t="shared" si="57"/>
        <v>24.641644445775032</v>
      </c>
      <c r="L1108" s="8">
        <f t="shared" si="56"/>
        <v>12.320822222887516</v>
      </c>
    </row>
    <row r="1109" spans="1:12" x14ac:dyDescent="0.25">
      <c r="A1109" s="1">
        <v>1110</v>
      </c>
      <c r="B1109" s="1">
        <v>203</v>
      </c>
      <c r="C1109" s="3" t="s">
        <v>63</v>
      </c>
      <c r="D1109" s="5" t="s">
        <v>22</v>
      </c>
      <c r="E1109" s="10">
        <v>2.23</v>
      </c>
      <c r="F1109" s="10">
        <v>8.7899999999999991</v>
      </c>
      <c r="G1109" s="10">
        <v>7.43</v>
      </c>
      <c r="H1109" s="10">
        <v>2.02</v>
      </c>
      <c r="I1109" s="8">
        <f t="shared" si="55"/>
        <v>3.20474616</v>
      </c>
      <c r="K1109" s="8">
        <f t="shared" si="57"/>
        <v>17.625695491298952</v>
      </c>
      <c r="L1109" s="8">
        <f t="shared" si="56"/>
        <v>8.812847745649476</v>
      </c>
    </row>
    <row r="1110" spans="1:12" x14ac:dyDescent="0.25">
      <c r="A1110" s="1">
        <v>1111</v>
      </c>
      <c r="B1110" s="1">
        <v>204</v>
      </c>
      <c r="C1110" s="3" t="s">
        <v>63</v>
      </c>
      <c r="D1110" s="5" t="s">
        <v>22</v>
      </c>
      <c r="E1110" s="10">
        <v>1.99</v>
      </c>
      <c r="F1110" s="10">
        <v>11.11</v>
      </c>
      <c r="G1110" s="10">
        <v>5.12</v>
      </c>
      <c r="H1110" s="10">
        <v>1.88</v>
      </c>
      <c r="I1110" s="8">
        <f t="shared" si="55"/>
        <v>2.7759177599999996</v>
      </c>
      <c r="K1110" s="8">
        <f t="shared" si="57"/>
        <v>8.1740899044474382</v>
      </c>
      <c r="L1110" s="8">
        <f t="shared" si="56"/>
        <v>4.0870449522237191</v>
      </c>
    </row>
    <row r="1111" spans="1:12" x14ac:dyDescent="0.25">
      <c r="A1111" s="1">
        <v>1112</v>
      </c>
      <c r="B1111" s="1">
        <v>205</v>
      </c>
      <c r="C1111" s="3" t="s">
        <v>63</v>
      </c>
      <c r="D1111" s="5" t="s">
        <v>22</v>
      </c>
      <c r="E1111" s="10">
        <v>1.34</v>
      </c>
      <c r="F1111" s="10">
        <v>10.130000000000001</v>
      </c>
      <c r="G1111" s="10">
        <v>4.78</v>
      </c>
      <c r="H1111" s="10">
        <v>1.99</v>
      </c>
      <c r="I1111" s="8">
        <f t="shared" si="55"/>
        <v>3.1102625399999999</v>
      </c>
      <c r="K1111" s="8">
        <f t="shared" si="57"/>
        <v>7.0934957075126288</v>
      </c>
      <c r="L1111" s="8">
        <f t="shared" si="56"/>
        <v>3.5467478537563144</v>
      </c>
    </row>
    <row r="1112" spans="1:12" x14ac:dyDescent="0.25">
      <c r="A1112" s="1">
        <v>1113</v>
      </c>
      <c r="B1112" s="1">
        <v>206</v>
      </c>
      <c r="C1112" s="3" t="s">
        <v>63</v>
      </c>
      <c r="D1112" s="5" t="s">
        <v>22</v>
      </c>
      <c r="E1112" s="10">
        <v>1.54</v>
      </c>
      <c r="F1112" s="10">
        <v>10.65</v>
      </c>
      <c r="G1112" s="10">
        <v>5.0999999999999996</v>
      </c>
      <c r="H1112" s="10">
        <v>1.75</v>
      </c>
      <c r="I1112" s="8">
        <f t="shared" si="55"/>
        <v>2.4052875</v>
      </c>
      <c r="K1112" s="8">
        <f t="shared" si="57"/>
        <v>8.1083391166837924</v>
      </c>
      <c r="L1112" s="8">
        <f t="shared" si="56"/>
        <v>4.0541695583418962</v>
      </c>
    </row>
    <row r="1113" spans="1:12" x14ac:dyDescent="0.25">
      <c r="A1113" s="1">
        <v>1114</v>
      </c>
      <c r="B1113" s="1">
        <v>207</v>
      </c>
      <c r="C1113" s="3" t="s">
        <v>63</v>
      </c>
      <c r="D1113" s="5" t="s">
        <v>22</v>
      </c>
      <c r="E1113" s="10">
        <v>1.74</v>
      </c>
      <c r="F1113" s="10">
        <v>9.61</v>
      </c>
      <c r="G1113" s="10">
        <v>7.65</v>
      </c>
      <c r="H1113" s="10">
        <v>1.79</v>
      </c>
      <c r="I1113" s="8">
        <f t="shared" si="55"/>
        <v>2.5165001399999998</v>
      </c>
      <c r="K1113" s="8">
        <f t="shared" si="57"/>
        <v>18.71958502329996</v>
      </c>
      <c r="L1113" s="8">
        <f t="shared" si="56"/>
        <v>9.3597925116499798</v>
      </c>
    </row>
    <row r="1114" spans="1:12" x14ac:dyDescent="0.25">
      <c r="A1114" s="1">
        <v>1115</v>
      </c>
      <c r="B1114" s="1">
        <v>208</v>
      </c>
      <c r="C1114" s="3" t="s">
        <v>63</v>
      </c>
      <c r="D1114" s="5" t="s">
        <v>22</v>
      </c>
      <c r="E1114" s="10">
        <v>2.2000000000000002</v>
      </c>
      <c r="F1114" s="10">
        <v>9.85</v>
      </c>
      <c r="G1114" s="10">
        <v>6.97</v>
      </c>
      <c r="H1114" s="10">
        <v>1.88</v>
      </c>
      <c r="I1114" s="8">
        <f t="shared" si="55"/>
        <v>2.7759177599999996</v>
      </c>
      <c r="K1114" s="8">
        <f t="shared" si="57"/>
        <v>15.447979456059098</v>
      </c>
      <c r="L1114" s="8">
        <f t="shared" si="56"/>
        <v>7.7239897280295491</v>
      </c>
    </row>
    <row r="1115" spans="1:12" x14ac:dyDescent="0.25">
      <c r="A1115" s="1">
        <v>1116</v>
      </c>
      <c r="B1115" s="1">
        <v>209</v>
      </c>
      <c r="C1115" s="3" t="s">
        <v>63</v>
      </c>
      <c r="D1115" s="5" t="s">
        <v>22</v>
      </c>
      <c r="E1115" s="10">
        <v>1.86</v>
      </c>
      <c r="F1115" s="10">
        <v>10.94</v>
      </c>
      <c r="G1115" s="10">
        <v>4.1100000000000003</v>
      </c>
      <c r="H1115" s="10">
        <v>1.74</v>
      </c>
      <c r="I1115" s="8">
        <f t="shared" si="55"/>
        <v>2.37787704</v>
      </c>
      <c r="K1115" s="8">
        <f t="shared" si="57"/>
        <v>5.194257135419595</v>
      </c>
      <c r="L1115" s="8">
        <f t="shared" si="56"/>
        <v>2.5971285677097975</v>
      </c>
    </row>
    <row r="1116" spans="1:12" x14ac:dyDescent="0.25">
      <c r="A1116" s="1">
        <v>1117</v>
      </c>
      <c r="B1116" s="1">
        <v>210</v>
      </c>
      <c r="C1116" s="3" t="s">
        <v>63</v>
      </c>
      <c r="D1116" s="5" t="s">
        <v>22</v>
      </c>
      <c r="E1116" s="10">
        <v>2.16</v>
      </c>
      <c r="F1116" s="10">
        <v>6.75</v>
      </c>
      <c r="G1116" s="10">
        <v>4.04</v>
      </c>
      <c r="H1116" s="10">
        <v>1.93</v>
      </c>
      <c r="I1116" s="8">
        <f t="shared" si="55"/>
        <v>2.92553646</v>
      </c>
      <c r="K1116" s="8">
        <f t="shared" si="57"/>
        <v>5.0133588560936664</v>
      </c>
      <c r="L1116" s="8">
        <f t="shared" si="56"/>
        <v>2.5066794280468332</v>
      </c>
    </row>
    <row r="1117" spans="1:12" x14ac:dyDescent="0.25">
      <c r="A1117" s="1">
        <v>1118</v>
      </c>
      <c r="B1117" s="1">
        <v>211</v>
      </c>
      <c r="C1117" s="3" t="s">
        <v>63</v>
      </c>
      <c r="D1117" s="5" t="s">
        <v>22</v>
      </c>
      <c r="E1117" s="10">
        <v>1.6</v>
      </c>
      <c r="F1117" s="10">
        <v>8.43</v>
      </c>
      <c r="G1117" s="10">
        <v>3.59</v>
      </c>
      <c r="H1117" s="10">
        <v>1.94</v>
      </c>
      <c r="I1117" s="8">
        <f t="shared" si="55"/>
        <v>2.9559314399999996</v>
      </c>
      <c r="K1117" s="8">
        <f t="shared" si="57"/>
        <v>3.9291466652868774</v>
      </c>
      <c r="L1117" s="8">
        <f t="shared" si="56"/>
        <v>1.9645733326434387</v>
      </c>
    </row>
    <row r="1118" spans="1:12" x14ac:dyDescent="0.25">
      <c r="A1118" s="1">
        <v>1119</v>
      </c>
      <c r="B1118" s="1">
        <v>212</v>
      </c>
      <c r="C1118" s="3" t="s">
        <v>63</v>
      </c>
      <c r="D1118" s="5" t="s">
        <v>22</v>
      </c>
      <c r="E1118" s="10">
        <v>2.15</v>
      </c>
      <c r="F1118" s="10">
        <v>6.55</v>
      </c>
      <c r="G1118" s="10">
        <v>6.96</v>
      </c>
      <c r="H1118" s="10">
        <v>1.84</v>
      </c>
      <c r="I1118" s="8">
        <f t="shared" si="55"/>
        <v>2.65905024</v>
      </c>
      <c r="K1118" s="8">
        <f t="shared" si="57"/>
        <v>15.402279905044482</v>
      </c>
      <c r="L1118" s="8">
        <f t="shared" si="56"/>
        <v>7.701139952522241</v>
      </c>
    </row>
    <row r="1119" spans="1:12" x14ac:dyDescent="0.25">
      <c r="A1119" s="1">
        <v>1120</v>
      </c>
      <c r="B1119" s="1">
        <v>213</v>
      </c>
      <c r="C1119" s="3" t="s">
        <v>63</v>
      </c>
      <c r="D1119" s="5" t="s">
        <v>22</v>
      </c>
      <c r="E1119" s="10">
        <v>1.61</v>
      </c>
      <c r="F1119" s="10">
        <v>11.91</v>
      </c>
      <c r="G1119" s="10">
        <v>7.59</v>
      </c>
      <c r="H1119" s="10">
        <v>2</v>
      </c>
      <c r="I1119" s="8">
        <f t="shared" si="55"/>
        <v>3.1415999999999999</v>
      </c>
      <c r="K1119" s="8">
        <f t="shared" si="57"/>
        <v>18.417884712901415</v>
      </c>
      <c r="L1119" s="8">
        <f t="shared" si="56"/>
        <v>9.2089423564507076</v>
      </c>
    </row>
    <row r="1120" spans="1:12" x14ac:dyDescent="0.25">
      <c r="A1120" s="1">
        <v>1121</v>
      </c>
      <c r="B1120" s="1">
        <v>214</v>
      </c>
      <c r="C1120" s="3" t="s">
        <v>63</v>
      </c>
      <c r="D1120" s="5" t="s">
        <v>22</v>
      </c>
      <c r="E1120" s="10">
        <v>1.22</v>
      </c>
      <c r="F1120" s="10">
        <v>11.61</v>
      </c>
      <c r="G1120" s="10">
        <v>4.59</v>
      </c>
      <c r="H1120" s="10">
        <v>1.87</v>
      </c>
      <c r="I1120" s="8">
        <f t="shared" si="55"/>
        <v>2.7464652600000004</v>
      </c>
      <c r="K1120" s="8">
        <f t="shared" si="57"/>
        <v>6.5239604897650079</v>
      </c>
      <c r="L1120" s="8">
        <f t="shared" si="56"/>
        <v>3.2619802448825039</v>
      </c>
    </row>
    <row r="1121" spans="1:12" x14ac:dyDescent="0.25">
      <c r="A1121" s="1">
        <v>1122</v>
      </c>
      <c r="B1121" s="1">
        <v>215</v>
      </c>
      <c r="C1121" s="3" t="s">
        <v>63</v>
      </c>
      <c r="D1121" s="5" t="s">
        <v>22</v>
      </c>
      <c r="E1121" s="10">
        <v>1.72</v>
      </c>
      <c r="F1121" s="10">
        <v>5.28</v>
      </c>
      <c r="G1121" s="10">
        <v>3.13</v>
      </c>
      <c r="H1121" s="10">
        <v>1.69</v>
      </c>
      <c r="I1121" s="8">
        <f t="shared" si="55"/>
        <v>2.2431809399999998</v>
      </c>
      <c r="K1121" s="8">
        <f t="shared" si="57"/>
        <v>2.9608512274163559</v>
      </c>
      <c r="L1121" s="8">
        <f t="shared" si="56"/>
        <v>1.4804256137081779</v>
      </c>
    </row>
    <row r="1122" spans="1:12" x14ac:dyDescent="0.25">
      <c r="A1122" s="1">
        <v>1123</v>
      </c>
      <c r="B1122" s="1">
        <v>216</v>
      </c>
      <c r="C1122" s="3" t="s">
        <v>63</v>
      </c>
      <c r="D1122" s="5" t="s">
        <v>22</v>
      </c>
      <c r="E1122" s="10">
        <v>1.23</v>
      </c>
      <c r="F1122" s="10">
        <v>9.94</v>
      </c>
      <c r="G1122" s="10">
        <v>3.49</v>
      </c>
      <c r="H1122" s="10">
        <v>1.93</v>
      </c>
      <c r="I1122" s="8">
        <f t="shared" si="55"/>
        <v>2.92553646</v>
      </c>
      <c r="K1122" s="8">
        <f t="shared" si="57"/>
        <v>3.7066460259814242</v>
      </c>
      <c r="L1122" s="8">
        <f t="shared" si="56"/>
        <v>1.8533230129907121</v>
      </c>
    </row>
    <row r="1123" spans="1:12" x14ac:dyDescent="0.25">
      <c r="A1123" s="1">
        <v>1124</v>
      </c>
      <c r="B1123" s="1">
        <v>217</v>
      </c>
      <c r="C1123" s="3" t="s">
        <v>63</v>
      </c>
      <c r="D1123" s="5" t="s">
        <v>22</v>
      </c>
      <c r="E1123" s="10">
        <v>1.19</v>
      </c>
      <c r="F1123" s="10">
        <v>11.48</v>
      </c>
      <c r="G1123" s="10">
        <v>8.81</v>
      </c>
      <c r="H1123" s="10">
        <v>1.97</v>
      </c>
      <c r="I1123" s="8">
        <f t="shared" si="55"/>
        <v>3.0480588599999998</v>
      </c>
      <c r="K1123" s="8">
        <f t="shared" si="57"/>
        <v>25.050628856388791</v>
      </c>
      <c r="L1123" s="8">
        <f t="shared" si="56"/>
        <v>12.525314428194395</v>
      </c>
    </row>
    <row r="1124" spans="1:12" x14ac:dyDescent="0.25">
      <c r="A1124" s="1">
        <v>1125</v>
      </c>
      <c r="B1124" s="1">
        <v>218</v>
      </c>
      <c r="C1124" s="3" t="s">
        <v>63</v>
      </c>
      <c r="D1124" s="5" t="s">
        <v>22</v>
      </c>
      <c r="E1124" s="10">
        <v>2.0099999999999998</v>
      </c>
      <c r="F1124" s="10">
        <v>6.26</v>
      </c>
      <c r="G1124" s="10">
        <v>4.7699999999999996</v>
      </c>
      <c r="H1124" s="10">
        <v>2.0699999999999998</v>
      </c>
      <c r="I1124" s="8">
        <f t="shared" si="55"/>
        <v>3.3653604599999993</v>
      </c>
      <c r="K1124" s="8">
        <f t="shared" si="57"/>
        <v>7.0629075365077485</v>
      </c>
      <c r="L1124" s="8">
        <f t="shared" si="56"/>
        <v>3.5314537682538742</v>
      </c>
    </row>
    <row r="1125" spans="1:12" x14ac:dyDescent="0.25">
      <c r="A1125" s="1">
        <v>1126</v>
      </c>
      <c r="B1125" s="1">
        <v>219</v>
      </c>
      <c r="C1125" s="3" t="s">
        <v>63</v>
      </c>
      <c r="D1125" s="5" t="s">
        <v>22</v>
      </c>
      <c r="E1125" s="10">
        <v>1.4</v>
      </c>
      <c r="F1125" s="10">
        <v>8.98</v>
      </c>
      <c r="G1125" s="10">
        <v>7.62</v>
      </c>
      <c r="H1125" s="10">
        <v>1.83</v>
      </c>
      <c r="I1125" s="8">
        <f t="shared" si="55"/>
        <v>2.6302260600000005</v>
      </c>
      <c r="K1125" s="8">
        <f t="shared" si="57"/>
        <v>18.568419062786223</v>
      </c>
      <c r="L1125" s="8">
        <f t="shared" si="56"/>
        <v>9.2842095313931114</v>
      </c>
    </row>
    <row r="1126" spans="1:12" x14ac:dyDescent="0.25">
      <c r="A1126" s="1">
        <v>1127</v>
      </c>
      <c r="B1126" s="1">
        <v>220</v>
      </c>
      <c r="C1126" s="3" t="s">
        <v>63</v>
      </c>
      <c r="D1126" s="5" t="s">
        <v>22</v>
      </c>
      <c r="E1126" s="10">
        <v>1.86</v>
      </c>
      <c r="F1126" s="10">
        <v>11.41</v>
      </c>
      <c r="G1126" s="10">
        <v>6.75</v>
      </c>
      <c r="H1126" s="10">
        <v>1.98</v>
      </c>
      <c r="I1126" s="8">
        <f t="shared" si="55"/>
        <v>3.07908216</v>
      </c>
      <c r="K1126" s="8">
        <f t="shared" si="57"/>
        <v>14.458697805914014</v>
      </c>
      <c r="L1126" s="8">
        <f t="shared" si="56"/>
        <v>7.2293489029570068</v>
      </c>
    </row>
    <row r="1127" spans="1:12" x14ac:dyDescent="0.25">
      <c r="A1127" s="1">
        <v>1128</v>
      </c>
      <c r="B1127" s="1">
        <v>221</v>
      </c>
      <c r="C1127" s="3" t="s">
        <v>63</v>
      </c>
      <c r="D1127" s="5" t="s">
        <v>22</v>
      </c>
      <c r="E1127" s="10">
        <v>1.57</v>
      </c>
      <c r="F1127" s="10">
        <v>5.24</v>
      </c>
      <c r="G1127" s="10">
        <v>5.29</v>
      </c>
      <c r="H1127" s="10">
        <v>1.9</v>
      </c>
      <c r="I1127" s="8">
        <f t="shared" si="55"/>
        <v>2.8352939999999998</v>
      </c>
      <c r="K1127" s="8">
        <f t="shared" si="57"/>
        <v>8.7440297157412878</v>
      </c>
      <c r="L1127" s="8">
        <f t="shared" si="56"/>
        <v>4.3720148578706439</v>
      </c>
    </row>
    <row r="1128" spans="1:12" x14ac:dyDescent="0.25">
      <c r="A1128" s="1">
        <v>1129</v>
      </c>
      <c r="B1128" s="1">
        <v>222</v>
      </c>
      <c r="C1128" s="3" t="s">
        <v>63</v>
      </c>
      <c r="D1128" s="5" t="s">
        <v>22</v>
      </c>
      <c r="E1128" s="10">
        <v>2.31</v>
      </c>
      <c r="F1128" s="10">
        <v>9.8800000000000008</v>
      </c>
      <c r="G1128" s="10">
        <v>4.2300000000000004</v>
      </c>
      <c r="H1128" s="10">
        <v>1.81</v>
      </c>
      <c r="I1128" s="8">
        <f t="shared" si="55"/>
        <v>2.5730489400000001</v>
      </c>
      <c r="K1128" s="8">
        <f t="shared" si="57"/>
        <v>5.5120632665178961</v>
      </c>
      <c r="L1128" s="8">
        <f t="shared" si="56"/>
        <v>2.7560316332589481</v>
      </c>
    </row>
    <row r="1129" spans="1:12" x14ac:dyDescent="0.25">
      <c r="A1129" s="1">
        <v>1130</v>
      </c>
      <c r="B1129" s="1">
        <v>223</v>
      </c>
      <c r="C1129" s="3" t="s">
        <v>63</v>
      </c>
      <c r="D1129" s="5" t="s">
        <v>22</v>
      </c>
      <c r="E1129" s="10">
        <v>1.58</v>
      </c>
      <c r="F1129" s="10">
        <v>7.08</v>
      </c>
      <c r="G1129" s="10">
        <v>3.73</v>
      </c>
      <c r="H1129" s="10">
        <v>1.69</v>
      </c>
      <c r="I1129" s="8">
        <f t="shared" si="55"/>
        <v>2.2431809399999998</v>
      </c>
      <c r="K1129" s="8">
        <f t="shared" si="57"/>
        <v>4.251889996226927</v>
      </c>
      <c r="L1129" s="8">
        <f t="shared" si="56"/>
        <v>2.1259449981134635</v>
      </c>
    </row>
    <row r="1130" spans="1:12" x14ac:dyDescent="0.25">
      <c r="A1130" s="1">
        <v>1131</v>
      </c>
      <c r="B1130" s="1">
        <v>224</v>
      </c>
      <c r="C1130" s="3" t="s">
        <v>63</v>
      </c>
      <c r="D1130" s="5" t="s">
        <v>22</v>
      </c>
      <c r="E1130" s="10">
        <v>1.68</v>
      </c>
      <c r="F1130" s="10">
        <v>11.47</v>
      </c>
      <c r="G1130" s="10">
        <v>6.69</v>
      </c>
      <c r="H1130" s="10">
        <v>1.86</v>
      </c>
      <c r="I1130" s="8">
        <f t="shared" si="55"/>
        <v>2.7171698400000004</v>
      </c>
      <c r="K1130" s="8">
        <f t="shared" si="57"/>
        <v>14.194746455341846</v>
      </c>
      <c r="L1130" s="8">
        <f t="shared" si="56"/>
        <v>7.0973732276709232</v>
      </c>
    </row>
    <row r="1131" spans="1:12" x14ac:dyDescent="0.25">
      <c r="A1131" s="1">
        <v>1132</v>
      </c>
      <c r="B1131" s="1">
        <v>225</v>
      </c>
      <c r="C1131" s="3" t="s">
        <v>63</v>
      </c>
      <c r="D1131" s="5" t="s">
        <v>22</v>
      </c>
      <c r="E1131" s="10">
        <v>1.48</v>
      </c>
      <c r="F1131" s="10">
        <v>11.8</v>
      </c>
      <c r="G1131" s="10">
        <v>7.65</v>
      </c>
      <c r="H1131" s="10">
        <v>2.0499999999999998</v>
      </c>
      <c r="I1131" s="8">
        <f t="shared" si="55"/>
        <v>3.3006434999999996</v>
      </c>
      <c r="K1131" s="8">
        <f t="shared" si="57"/>
        <v>18.71958502329996</v>
      </c>
      <c r="L1131" s="8">
        <f t="shared" si="56"/>
        <v>9.3597925116499798</v>
      </c>
    </row>
    <row r="1132" spans="1:12" x14ac:dyDescent="0.25">
      <c r="A1132" s="1">
        <v>1133</v>
      </c>
      <c r="B1132" s="1">
        <v>226</v>
      </c>
      <c r="C1132" s="3" t="s">
        <v>63</v>
      </c>
      <c r="D1132" s="5" t="s">
        <v>22</v>
      </c>
      <c r="E1132" s="10">
        <v>2.34</v>
      </c>
      <c r="F1132" s="10">
        <v>11.61</v>
      </c>
      <c r="G1132" s="10">
        <v>6.86</v>
      </c>
      <c r="H1132" s="10">
        <v>1.88</v>
      </c>
      <c r="I1132" s="8">
        <f t="shared" si="55"/>
        <v>2.7759177599999996</v>
      </c>
      <c r="K1132" s="8">
        <f t="shared" si="57"/>
        <v>14.949121042377246</v>
      </c>
      <c r="L1132" s="8">
        <f t="shared" si="56"/>
        <v>7.4745605211886232</v>
      </c>
    </row>
    <row r="1133" spans="1:12" x14ac:dyDescent="0.25">
      <c r="A1133" s="1">
        <v>1134</v>
      </c>
      <c r="B1133" s="1">
        <v>227</v>
      </c>
      <c r="C1133" s="3" t="s">
        <v>63</v>
      </c>
      <c r="D1133" s="5" t="s">
        <v>22</v>
      </c>
      <c r="E1133" s="10">
        <v>1.89</v>
      </c>
      <c r="F1133" s="10">
        <v>8.32</v>
      </c>
      <c r="G1133" s="10">
        <v>6.18</v>
      </c>
      <c r="H1133" s="10">
        <v>1.95</v>
      </c>
      <c r="I1133" s="8">
        <f t="shared" si="55"/>
        <v>2.9864834999999998</v>
      </c>
      <c r="K1133" s="8">
        <f t="shared" si="57"/>
        <v>12.052178742606868</v>
      </c>
      <c r="L1133" s="8">
        <f t="shared" si="56"/>
        <v>6.026089371303434</v>
      </c>
    </row>
    <row r="1134" spans="1:12" x14ac:dyDescent="0.25">
      <c r="A1134" s="1">
        <v>1135</v>
      </c>
      <c r="B1134" s="1">
        <v>228</v>
      </c>
      <c r="C1134" s="3" t="s">
        <v>63</v>
      </c>
      <c r="D1134" s="5" t="s">
        <v>22</v>
      </c>
      <c r="E1134" s="10">
        <v>1.73</v>
      </c>
      <c r="F1134" s="10">
        <v>11.03</v>
      </c>
      <c r="G1134" s="10">
        <v>3.25</v>
      </c>
      <c r="H1134" s="10">
        <v>2.06</v>
      </c>
      <c r="I1134" s="8">
        <f t="shared" si="55"/>
        <v>3.3329234399999996</v>
      </c>
      <c r="K1134" s="8">
        <f t="shared" si="57"/>
        <v>3.1998687197350622</v>
      </c>
      <c r="L1134" s="8">
        <f t="shared" si="56"/>
        <v>1.5999343598675311</v>
      </c>
    </row>
    <row r="1135" spans="1:12" x14ac:dyDescent="0.25">
      <c r="A1135" s="1">
        <v>1136</v>
      </c>
      <c r="B1135" s="1">
        <v>229</v>
      </c>
      <c r="C1135" s="3" t="s">
        <v>63</v>
      </c>
      <c r="D1135" s="5" t="s">
        <v>22</v>
      </c>
      <c r="E1135" s="10">
        <v>2.0499999999999998</v>
      </c>
      <c r="F1135" s="10">
        <v>10.91</v>
      </c>
      <c r="G1135" s="10">
        <v>8.81</v>
      </c>
      <c r="H1135" s="10">
        <v>1.89</v>
      </c>
      <c r="I1135" s="8">
        <f t="shared" si="55"/>
        <v>2.8055273399999998</v>
      </c>
      <c r="K1135" s="8">
        <f t="shared" si="57"/>
        <v>25.050628856388791</v>
      </c>
      <c r="L1135" s="8">
        <f t="shared" si="56"/>
        <v>12.525314428194395</v>
      </c>
    </row>
    <row r="1136" spans="1:12" x14ac:dyDescent="0.25">
      <c r="A1136" s="1">
        <v>1137</v>
      </c>
      <c r="B1136" s="1">
        <v>230</v>
      </c>
      <c r="C1136" s="3" t="s">
        <v>63</v>
      </c>
      <c r="D1136" s="5" t="s">
        <v>22</v>
      </c>
      <c r="E1136" s="10">
        <v>1.9</v>
      </c>
      <c r="F1136" s="10">
        <v>7.23</v>
      </c>
      <c r="G1136" s="10">
        <v>7.79</v>
      </c>
      <c r="H1136" s="10">
        <v>1.7</v>
      </c>
      <c r="I1136" s="8">
        <f t="shared" si="55"/>
        <v>2.2698059999999995</v>
      </c>
      <c r="K1136" s="8">
        <f t="shared" si="57"/>
        <v>19.433382084046375</v>
      </c>
      <c r="L1136" s="8">
        <f t="shared" si="56"/>
        <v>9.7166910420231876</v>
      </c>
    </row>
    <row r="1137" spans="1:12" x14ac:dyDescent="0.25">
      <c r="A1137" s="1">
        <v>1138</v>
      </c>
      <c r="B1137" s="1">
        <v>231</v>
      </c>
      <c r="C1137" s="3" t="s">
        <v>63</v>
      </c>
      <c r="D1137" s="5" t="s">
        <v>22</v>
      </c>
      <c r="E1137" s="10">
        <v>1.24</v>
      </c>
      <c r="F1137" s="10">
        <v>10.8</v>
      </c>
      <c r="G1137" s="10">
        <v>4.76</v>
      </c>
      <c r="H1137" s="10">
        <v>1.84</v>
      </c>
      <c r="I1137" s="8">
        <f t="shared" si="55"/>
        <v>2.65905024</v>
      </c>
      <c r="K1137" s="8">
        <f t="shared" si="57"/>
        <v>7.0323874877116053</v>
      </c>
      <c r="L1137" s="8">
        <f t="shared" si="56"/>
        <v>3.5161937438558026</v>
      </c>
    </row>
    <row r="1138" spans="1:12" x14ac:dyDescent="0.25">
      <c r="A1138" s="1">
        <v>1139</v>
      </c>
      <c r="B1138" s="1">
        <v>232</v>
      </c>
      <c r="C1138" s="3" t="s">
        <v>63</v>
      </c>
      <c r="D1138" s="5" t="s">
        <v>22</v>
      </c>
      <c r="E1138" s="10">
        <v>1.92</v>
      </c>
      <c r="F1138" s="10">
        <v>5.26</v>
      </c>
      <c r="G1138" s="10">
        <v>8.8800000000000008</v>
      </c>
      <c r="H1138" s="10">
        <v>1.77</v>
      </c>
      <c r="I1138" s="8">
        <f t="shared" si="55"/>
        <v>2.4605796600000001</v>
      </c>
      <c r="K1138" s="8">
        <f t="shared" si="57"/>
        <v>25.463083868320734</v>
      </c>
      <c r="L1138" s="8">
        <f t="shared" si="56"/>
        <v>12.731541934160367</v>
      </c>
    </row>
    <row r="1139" spans="1:12" x14ac:dyDescent="0.25">
      <c r="A1139" s="1">
        <v>1140</v>
      </c>
      <c r="B1139" s="1">
        <v>233</v>
      </c>
      <c r="C1139" s="3" t="s">
        <v>63</v>
      </c>
      <c r="D1139" s="5" t="s">
        <v>22</v>
      </c>
      <c r="E1139" s="10">
        <v>1.41</v>
      </c>
      <c r="F1139" s="10">
        <v>9.17</v>
      </c>
      <c r="G1139" s="10">
        <v>6.61</v>
      </c>
      <c r="H1139" s="10">
        <v>1.76</v>
      </c>
      <c r="I1139" s="8">
        <f t="shared" si="55"/>
        <v>2.4328550399999997</v>
      </c>
      <c r="K1139" s="8">
        <f t="shared" si="57"/>
        <v>13.846708745338528</v>
      </c>
      <c r="L1139" s="8">
        <f t="shared" si="56"/>
        <v>6.9233543726692641</v>
      </c>
    </row>
    <row r="1140" spans="1:12" x14ac:dyDescent="0.25">
      <c r="A1140" s="1">
        <v>1141</v>
      </c>
      <c r="B1140" s="1">
        <v>234</v>
      </c>
      <c r="C1140" s="3" t="s">
        <v>63</v>
      </c>
      <c r="D1140" s="5" t="s">
        <v>22</v>
      </c>
      <c r="E1140" s="10">
        <v>1.18</v>
      </c>
      <c r="F1140" s="10">
        <v>6.61</v>
      </c>
      <c r="G1140" s="10">
        <v>6.49</v>
      </c>
      <c r="H1140" s="10">
        <v>1.87</v>
      </c>
      <c r="I1140" s="8">
        <f t="shared" si="55"/>
        <v>2.7464652600000004</v>
      </c>
      <c r="K1140" s="8">
        <f t="shared" si="57"/>
        <v>13.33299687913826</v>
      </c>
      <c r="L1140" s="8">
        <f t="shared" si="56"/>
        <v>6.6664984395691302</v>
      </c>
    </row>
    <row r="1141" spans="1:12" x14ac:dyDescent="0.25">
      <c r="A1141" s="1">
        <v>1142</v>
      </c>
      <c r="B1141" s="1">
        <v>235</v>
      </c>
      <c r="C1141" s="3" t="s">
        <v>63</v>
      </c>
      <c r="D1141" s="5" t="s">
        <v>22</v>
      </c>
      <c r="E1141" s="10">
        <v>2.09</v>
      </c>
      <c r="F1141" s="10">
        <v>5.84</v>
      </c>
      <c r="G1141" s="10">
        <v>7.49</v>
      </c>
      <c r="H1141" s="10">
        <v>1.84</v>
      </c>
      <c r="I1141" s="8">
        <f t="shared" si="55"/>
        <v>2.65905024</v>
      </c>
      <c r="K1141" s="8">
        <f t="shared" si="57"/>
        <v>17.920663143391547</v>
      </c>
      <c r="L1141" s="8">
        <f t="shared" si="56"/>
        <v>8.9603315716957734</v>
      </c>
    </row>
    <row r="1142" spans="1:12" x14ac:dyDescent="0.25">
      <c r="A1142" s="1">
        <v>1143</v>
      </c>
      <c r="B1142" s="1">
        <v>236</v>
      </c>
      <c r="C1142" s="3" t="s">
        <v>63</v>
      </c>
      <c r="D1142" s="5" t="s">
        <v>22</v>
      </c>
      <c r="E1142" s="10">
        <v>1.49</v>
      </c>
      <c r="F1142" s="10">
        <v>5.54</v>
      </c>
      <c r="G1142" s="10">
        <v>7.87</v>
      </c>
      <c r="H1142" s="10">
        <v>1.85</v>
      </c>
      <c r="I1142" s="8">
        <f t="shared" si="55"/>
        <v>2.6880315000000001</v>
      </c>
      <c r="K1142" s="8">
        <f t="shared" si="57"/>
        <v>19.847449510725511</v>
      </c>
      <c r="L1142" s="8">
        <f t="shared" si="56"/>
        <v>9.9237247553627554</v>
      </c>
    </row>
    <row r="1143" spans="1:12" x14ac:dyDescent="0.25">
      <c r="A1143" s="1">
        <v>1144</v>
      </c>
      <c r="B1143" s="1">
        <v>237</v>
      </c>
      <c r="C1143" s="3" t="s">
        <v>63</v>
      </c>
      <c r="D1143" s="5" t="s">
        <v>22</v>
      </c>
      <c r="E1143" s="10">
        <v>2.0099999999999998</v>
      </c>
      <c r="F1143" s="10">
        <v>9.8699999999999992</v>
      </c>
      <c r="G1143" s="10">
        <v>6.94</v>
      </c>
      <c r="H1143" s="10">
        <v>2</v>
      </c>
      <c r="I1143" s="8">
        <f t="shared" si="55"/>
        <v>3.1415999999999999</v>
      </c>
      <c r="K1143" s="8">
        <f t="shared" si="57"/>
        <v>15.311090125814209</v>
      </c>
      <c r="L1143" s="8">
        <f t="shared" si="56"/>
        <v>7.6555450629071045</v>
      </c>
    </row>
    <row r="1144" spans="1:12" x14ac:dyDescent="0.25">
      <c r="A1144" s="1">
        <v>1145</v>
      </c>
      <c r="B1144" s="1">
        <v>238</v>
      </c>
      <c r="C1144" s="3" t="s">
        <v>63</v>
      </c>
      <c r="D1144" s="5" t="s">
        <v>22</v>
      </c>
      <c r="E1144" s="10">
        <v>2.3199999999999998</v>
      </c>
      <c r="F1144" s="10">
        <v>7.38</v>
      </c>
      <c r="G1144" s="10">
        <v>3.77</v>
      </c>
      <c r="H1144" s="10">
        <v>2.0699999999999998</v>
      </c>
      <c r="I1144" s="8">
        <f t="shared" si="55"/>
        <v>3.3653604599999993</v>
      </c>
      <c r="K1144" s="8">
        <f t="shared" si="57"/>
        <v>4.3465153905747895</v>
      </c>
      <c r="L1144" s="8">
        <f t="shared" si="56"/>
        <v>2.1732576952873948</v>
      </c>
    </row>
    <row r="1145" spans="1:12" x14ac:dyDescent="0.25">
      <c r="A1145" s="1">
        <v>1146</v>
      </c>
      <c r="B1145" s="1">
        <v>239</v>
      </c>
      <c r="C1145" s="3" t="s">
        <v>63</v>
      </c>
      <c r="D1145" s="5" t="s">
        <v>22</v>
      </c>
      <c r="E1145" s="10">
        <v>1.71</v>
      </c>
      <c r="F1145" s="10">
        <v>10.07</v>
      </c>
      <c r="G1145" s="10">
        <v>5.03</v>
      </c>
      <c r="H1145" s="10">
        <v>1.81</v>
      </c>
      <c r="I1145" s="8">
        <f t="shared" si="55"/>
        <v>2.5730489400000001</v>
      </c>
      <c r="K1145" s="8">
        <f t="shared" si="57"/>
        <v>7.8803658948211783</v>
      </c>
      <c r="L1145" s="8">
        <f t="shared" si="56"/>
        <v>3.9401829474105892</v>
      </c>
    </row>
    <row r="1146" spans="1:12" x14ac:dyDescent="0.25">
      <c r="A1146" s="1">
        <v>1147</v>
      </c>
      <c r="B1146" s="1">
        <v>240</v>
      </c>
      <c r="C1146" s="3" t="s">
        <v>63</v>
      </c>
      <c r="D1146" s="5" t="s">
        <v>22</v>
      </c>
      <c r="E1146" s="10">
        <v>1.54</v>
      </c>
      <c r="F1146" s="10">
        <v>5.46</v>
      </c>
      <c r="G1146" s="10">
        <v>8.57</v>
      </c>
      <c r="H1146" s="10">
        <v>1.88</v>
      </c>
      <c r="I1146" s="8">
        <f t="shared" si="55"/>
        <v>2.7759177599999996</v>
      </c>
      <c r="K1146" s="8">
        <f t="shared" si="57"/>
        <v>23.66283479444412</v>
      </c>
      <c r="L1146" s="8">
        <f t="shared" si="56"/>
        <v>11.83141739722206</v>
      </c>
    </row>
    <row r="1147" spans="1:12" x14ac:dyDescent="0.25">
      <c r="A1147" s="1">
        <v>1148</v>
      </c>
      <c r="B1147" s="1">
        <v>241</v>
      </c>
      <c r="C1147" s="3" t="s">
        <v>63</v>
      </c>
      <c r="D1147" s="5" t="s">
        <v>22</v>
      </c>
      <c r="E1147" s="10">
        <v>2.0699999999999998</v>
      </c>
      <c r="F1147" s="10">
        <v>7.21</v>
      </c>
      <c r="G1147" s="10">
        <v>4.3499999999999996</v>
      </c>
      <c r="H1147" s="10">
        <v>1.9</v>
      </c>
      <c r="I1147" s="8">
        <f t="shared" si="55"/>
        <v>2.8352939999999998</v>
      </c>
      <c r="K1147" s="8">
        <f t="shared" si="57"/>
        <v>5.8396044027782068</v>
      </c>
      <c r="L1147" s="8">
        <f t="shared" si="56"/>
        <v>2.9198022013891034</v>
      </c>
    </row>
    <row r="1148" spans="1:12" x14ac:dyDescent="0.25">
      <c r="A1148" s="1">
        <v>1149</v>
      </c>
      <c r="B1148" s="1">
        <v>242</v>
      </c>
      <c r="C1148" s="3" t="s">
        <v>63</v>
      </c>
      <c r="D1148" s="5" t="s">
        <v>22</v>
      </c>
      <c r="E1148" s="10">
        <v>2.13</v>
      </c>
      <c r="F1148" s="10">
        <v>8.7799999999999994</v>
      </c>
      <c r="G1148" s="10">
        <v>5.23</v>
      </c>
      <c r="H1148" s="10">
        <v>2.08</v>
      </c>
      <c r="I1148" s="8">
        <f t="shared" si="55"/>
        <v>3.3979545600000005</v>
      </c>
      <c r="K1148" s="8">
        <f t="shared" si="57"/>
        <v>8.5406137358419834</v>
      </c>
      <c r="L1148" s="8">
        <f t="shared" si="56"/>
        <v>4.2703068679209917</v>
      </c>
    </row>
    <row r="1149" spans="1:12" x14ac:dyDescent="0.25">
      <c r="A1149" s="1">
        <v>1150</v>
      </c>
      <c r="B1149" s="1">
        <v>243</v>
      </c>
      <c r="C1149" s="3" t="s">
        <v>63</v>
      </c>
      <c r="D1149" s="5" t="s">
        <v>22</v>
      </c>
      <c r="E1149" s="10">
        <v>1.34</v>
      </c>
      <c r="F1149" s="10">
        <v>10.54</v>
      </c>
      <c r="G1149" s="10">
        <v>5.59</v>
      </c>
      <c r="H1149" s="10">
        <v>1.83</v>
      </c>
      <c r="I1149" s="8">
        <f t="shared" si="55"/>
        <v>2.6302260600000005</v>
      </c>
      <c r="K1149" s="8">
        <f t="shared" si="57"/>
        <v>9.7981731790551283</v>
      </c>
      <c r="L1149" s="8">
        <f t="shared" si="56"/>
        <v>4.8990865895275642</v>
      </c>
    </row>
    <row r="1150" spans="1:12" x14ac:dyDescent="0.25">
      <c r="A1150" s="1">
        <v>1151</v>
      </c>
      <c r="B1150" s="1">
        <v>244</v>
      </c>
      <c r="C1150" s="3" t="s">
        <v>63</v>
      </c>
      <c r="D1150" s="5" t="s">
        <v>22</v>
      </c>
      <c r="E1150" s="10">
        <v>1.38</v>
      </c>
      <c r="F1150" s="10">
        <v>7.23</v>
      </c>
      <c r="G1150" s="10">
        <v>5.64</v>
      </c>
      <c r="H1150" s="10">
        <v>1.98</v>
      </c>
      <c r="I1150" s="8">
        <f t="shared" si="55"/>
        <v>3.07908216</v>
      </c>
      <c r="K1150" s="8">
        <f t="shared" si="57"/>
        <v>9.9798790210454715</v>
      </c>
      <c r="L1150" s="8">
        <f t="shared" si="56"/>
        <v>4.9899395105227358</v>
      </c>
    </row>
    <row r="1151" spans="1:12" x14ac:dyDescent="0.25">
      <c r="A1151" s="1">
        <v>1152</v>
      </c>
      <c r="B1151" s="1">
        <v>245</v>
      </c>
      <c r="C1151" s="3" t="s">
        <v>63</v>
      </c>
      <c r="D1151" s="5" t="s">
        <v>22</v>
      </c>
      <c r="E1151" s="10">
        <v>2.2000000000000002</v>
      </c>
      <c r="F1151" s="10">
        <v>9.3800000000000008</v>
      </c>
      <c r="G1151" s="10">
        <v>6.68</v>
      </c>
      <c r="H1151" s="10">
        <v>1.87</v>
      </c>
      <c r="I1151" s="8">
        <f t="shared" si="55"/>
        <v>2.7464652600000004</v>
      </c>
      <c r="K1151" s="8">
        <f t="shared" si="57"/>
        <v>14.150998206595151</v>
      </c>
      <c r="L1151" s="8">
        <f t="shared" si="56"/>
        <v>7.0754991032975756</v>
      </c>
    </row>
    <row r="1152" spans="1:12" x14ac:dyDescent="0.25">
      <c r="A1152" s="1">
        <v>1153</v>
      </c>
      <c r="B1152" s="1">
        <v>246</v>
      </c>
      <c r="C1152" s="3" t="s">
        <v>63</v>
      </c>
      <c r="D1152" s="5" t="s">
        <v>22</v>
      </c>
      <c r="E1152" s="10">
        <v>1.73</v>
      </c>
      <c r="F1152" s="10">
        <v>11.2</v>
      </c>
      <c r="G1152" s="10">
        <v>8.66</v>
      </c>
      <c r="H1152" s="10">
        <v>2.0699999999999998</v>
      </c>
      <c r="I1152" s="8">
        <f t="shared" si="55"/>
        <v>3.3653604599999993</v>
      </c>
      <c r="K1152" s="8">
        <f t="shared" si="57"/>
        <v>24.178481151404981</v>
      </c>
      <c r="L1152" s="8">
        <f t="shared" si="56"/>
        <v>12.08924057570249</v>
      </c>
    </row>
    <row r="1153" spans="1:12" x14ac:dyDescent="0.25">
      <c r="A1153" s="1">
        <v>1154</v>
      </c>
      <c r="B1153" s="1">
        <v>247</v>
      </c>
      <c r="C1153" s="3" t="s">
        <v>63</v>
      </c>
      <c r="D1153" s="5" t="s">
        <v>22</v>
      </c>
      <c r="E1153" s="10">
        <v>1.91</v>
      </c>
      <c r="F1153" s="10">
        <v>9.31</v>
      </c>
      <c r="G1153" s="10">
        <v>4.4400000000000004</v>
      </c>
      <c r="H1153" s="10">
        <v>1.69</v>
      </c>
      <c r="I1153" s="8">
        <f t="shared" ref="I1153:I1216" si="58">0.7854*H1153^2</f>
        <v>2.2431809399999998</v>
      </c>
      <c r="K1153" s="8">
        <f t="shared" si="57"/>
        <v>6.0916592820792097</v>
      </c>
      <c r="L1153" s="8">
        <f t="shared" ref="L1153:L1216" si="59">K1153*0.5</f>
        <v>3.0458296410396049</v>
      </c>
    </row>
    <row r="1154" spans="1:12" x14ac:dyDescent="0.25">
      <c r="A1154" s="1">
        <v>1155</v>
      </c>
      <c r="B1154" s="1">
        <v>248</v>
      </c>
      <c r="C1154" s="3" t="s">
        <v>63</v>
      </c>
      <c r="D1154" s="5" t="s">
        <v>22</v>
      </c>
      <c r="E1154" s="10">
        <v>1.42</v>
      </c>
      <c r="F1154" s="10">
        <v>6.63</v>
      </c>
      <c r="G1154" s="10">
        <v>3.73</v>
      </c>
      <c r="H1154" s="10">
        <v>2.0499999999999998</v>
      </c>
      <c r="I1154" s="8">
        <f t="shared" si="58"/>
        <v>3.3006434999999996</v>
      </c>
      <c r="K1154" s="8">
        <f t="shared" si="57"/>
        <v>4.251889996226927</v>
      </c>
      <c r="L1154" s="8">
        <f t="shared" si="59"/>
        <v>2.1259449981134635</v>
      </c>
    </row>
    <row r="1155" spans="1:12" x14ac:dyDescent="0.25">
      <c r="A1155" s="1">
        <v>1156</v>
      </c>
      <c r="B1155" s="1">
        <v>249</v>
      </c>
      <c r="C1155" s="3" t="s">
        <v>63</v>
      </c>
      <c r="D1155" s="5" t="s">
        <v>22</v>
      </c>
      <c r="E1155" s="10">
        <v>1.9</v>
      </c>
      <c r="F1155" s="10">
        <v>5.17</v>
      </c>
      <c r="G1155" s="10">
        <v>4.18</v>
      </c>
      <c r="H1155" s="10">
        <v>1.76</v>
      </c>
      <c r="I1155" s="8">
        <f t="shared" si="58"/>
        <v>2.4328550399999997</v>
      </c>
      <c r="K1155" s="8">
        <f t="shared" si="57"/>
        <v>5.378461980963797</v>
      </c>
      <c r="L1155" s="8">
        <f t="shared" si="59"/>
        <v>2.6892309904818985</v>
      </c>
    </row>
    <row r="1156" spans="1:12" x14ac:dyDescent="0.25">
      <c r="A1156" s="1">
        <v>1157</v>
      </c>
      <c r="B1156" s="1">
        <v>250</v>
      </c>
      <c r="C1156" s="3" t="s">
        <v>63</v>
      </c>
      <c r="D1156" s="5" t="s">
        <v>22</v>
      </c>
      <c r="E1156" s="10">
        <v>1.6</v>
      </c>
      <c r="F1156" s="10">
        <v>11.09</v>
      </c>
      <c r="G1156" s="10">
        <v>8.32</v>
      </c>
      <c r="H1156" s="10">
        <v>2.08</v>
      </c>
      <c r="I1156" s="8">
        <f t="shared" si="58"/>
        <v>3.3979545600000005</v>
      </c>
      <c r="K1156" s="8">
        <f t="shared" si="57"/>
        <v>22.260521244728711</v>
      </c>
      <c r="L1156" s="8">
        <f t="shared" si="59"/>
        <v>11.130260622364355</v>
      </c>
    </row>
    <row r="1157" spans="1:12" x14ac:dyDescent="0.25">
      <c r="A1157" s="1">
        <v>1158</v>
      </c>
      <c r="B1157" s="1">
        <v>251</v>
      </c>
      <c r="C1157" s="3" t="s">
        <v>63</v>
      </c>
      <c r="D1157" s="5" t="s">
        <v>22</v>
      </c>
      <c r="E1157" s="10">
        <v>1.78</v>
      </c>
      <c r="F1157" s="10">
        <v>5.15</v>
      </c>
      <c r="G1157" s="10">
        <v>6.87</v>
      </c>
      <c r="H1157" s="10">
        <v>1.93</v>
      </c>
      <c r="I1157" s="8">
        <f t="shared" si="58"/>
        <v>2.92553646</v>
      </c>
      <c r="K1157" s="8">
        <f t="shared" si="57"/>
        <v>14.994123117197129</v>
      </c>
      <c r="L1157" s="8">
        <f t="shared" si="59"/>
        <v>7.4970615585985643</v>
      </c>
    </row>
    <row r="1158" spans="1:12" x14ac:dyDescent="0.25">
      <c r="A1158" s="1">
        <v>1159</v>
      </c>
      <c r="B1158" s="1">
        <v>252</v>
      </c>
      <c r="C1158" s="3" t="s">
        <v>63</v>
      </c>
      <c r="D1158" s="5" t="s">
        <v>22</v>
      </c>
      <c r="E1158" s="10">
        <v>1.36</v>
      </c>
      <c r="F1158" s="10">
        <v>11.12</v>
      </c>
      <c r="G1158" s="10">
        <v>4.72</v>
      </c>
      <c r="H1158" s="10">
        <v>2.0499999999999998</v>
      </c>
      <c r="I1158" s="8">
        <f t="shared" si="58"/>
        <v>3.3006434999999996</v>
      </c>
      <c r="K1158" s="8">
        <f t="shared" si="57"/>
        <v>6.9109883327937069</v>
      </c>
      <c r="L1158" s="8">
        <f t="shared" si="59"/>
        <v>3.4554941663968535</v>
      </c>
    </row>
    <row r="1159" spans="1:12" x14ac:dyDescent="0.25">
      <c r="A1159" s="1">
        <v>1160</v>
      </c>
      <c r="B1159" s="1">
        <v>253</v>
      </c>
      <c r="C1159" s="3" t="s">
        <v>63</v>
      </c>
      <c r="D1159" s="5" t="s">
        <v>22</v>
      </c>
      <c r="E1159" s="10">
        <v>2.04</v>
      </c>
      <c r="F1159" s="10">
        <v>8.6999999999999993</v>
      </c>
      <c r="G1159" s="10">
        <v>7.9</v>
      </c>
      <c r="H1159" s="10">
        <v>1.71</v>
      </c>
      <c r="I1159" s="8">
        <f t="shared" si="58"/>
        <v>2.2965881399999999</v>
      </c>
      <c r="K1159" s="8">
        <f t="shared" si="57"/>
        <v>20.003884968252478</v>
      </c>
      <c r="L1159" s="8">
        <f t="shared" si="59"/>
        <v>10.001942484126239</v>
      </c>
    </row>
    <row r="1160" spans="1:12" x14ac:dyDescent="0.25">
      <c r="A1160" s="1">
        <v>1161</v>
      </c>
      <c r="B1160" s="1">
        <v>254</v>
      </c>
      <c r="C1160" s="3" t="s">
        <v>63</v>
      </c>
      <c r="D1160" s="5" t="s">
        <v>22</v>
      </c>
      <c r="E1160" s="10">
        <v>2.33</v>
      </c>
      <c r="F1160" s="10">
        <v>11.57</v>
      </c>
      <c r="G1160" s="10">
        <v>8.17</v>
      </c>
      <c r="H1160" s="10">
        <v>1.9</v>
      </c>
      <c r="I1160" s="8">
        <f t="shared" si="58"/>
        <v>2.8352939999999998</v>
      </c>
      <c r="K1160" s="8">
        <f t="shared" si="57"/>
        <v>21.440309942845335</v>
      </c>
      <c r="L1160" s="8">
        <f t="shared" si="59"/>
        <v>10.720154971422668</v>
      </c>
    </row>
    <row r="1161" spans="1:12" x14ac:dyDescent="0.25">
      <c r="A1161" s="1">
        <v>1162</v>
      </c>
      <c r="B1161" s="1">
        <v>255</v>
      </c>
      <c r="C1161" s="3" t="s">
        <v>63</v>
      </c>
      <c r="D1161" s="5" t="s">
        <v>22</v>
      </c>
      <c r="E1161" s="10">
        <v>1.62</v>
      </c>
      <c r="F1161" s="10">
        <v>10.59</v>
      </c>
      <c r="G1161" s="10">
        <v>8.08</v>
      </c>
      <c r="H1161" s="10">
        <v>2.08</v>
      </c>
      <c r="I1161" s="8">
        <f t="shared" si="58"/>
        <v>3.3979545600000005</v>
      </c>
      <c r="K1161" s="8">
        <f t="shared" si="57"/>
        <v>20.955797280101674</v>
      </c>
      <c r="L1161" s="8">
        <f t="shared" si="59"/>
        <v>10.477898640050837</v>
      </c>
    </row>
    <row r="1162" spans="1:12" x14ac:dyDescent="0.25">
      <c r="A1162" s="1">
        <v>1163</v>
      </c>
      <c r="B1162" s="1">
        <v>256</v>
      </c>
      <c r="C1162" s="3" t="s">
        <v>63</v>
      </c>
      <c r="D1162" s="5" t="s">
        <v>22</v>
      </c>
      <c r="E1162" s="10">
        <v>1.88</v>
      </c>
      <c r="F1162" s="10">
        <v>11.99</v>
      </c>
      <c r="G1162" s="10">
        <v>8.51</v>
      </c>
      <c r="H1162" s="10">
        <v>1.93</v>
      </c>
      <c r="I1162" s="8">
        <f t="shared" si="58"/>
        <v>2.92553646</v>
      </c>
      <c r="K1162" s="8">
        <f t="shared" si="57"/>
        <v>23.32225249366331</v>
      </c>
      <c r="L1162" s="8">
        <f t="shared" si="59"/>
        <v>11.661126246831655</v>
      </c>
    </row>
    <row r="1163" spans="1:12" x14ac:dyDescent="0.25">
      <c r="A1163" s="1">
        <v>1164</v>
      </c>
      <c r="B1163" s="1">
        <v>257</v>
      </c>
      <c r="C1163" s="3" t="s">
        <v>63</v>
      </c>
      <c r="D1163" s="5" t="s">
        <v>22</v>
      </c>
      <c r="E1163" s="10">
        <v>1.82</v>
      </c>
      <c r="F1163" s="10">
        <v>7.45</v>
      </c>
      <c r="G1163" s="10">
        <v>4.51</v>
      </c>
      <c r="H1163" s="10">
        <v>1.75</v>
      </c>
      <c r="I1163" s="8">
        <f t="shared" si="58"/>
        <v>2.4052875</v>
      </c>
      <c r="K1163" s="8">
        <f t="shared" si="57"/>
        <v>6.2914991138914473</v>
      </c>
      <c r="L1163" s="8">
        <f t="shared" si="59"/>
        <v>3.1457495569457237</v>
      </c>
    </row>
    <row r="1164" spans="1:12" x14ac:dyDescent="0.25">
      <c r="A1164" s="1">
        <v>1165</v>
      </c>
      <c r="B1164" s="1">
        <v>258</v>
      </c>
      <c r="C1164" s="3" t="s">
        <v>63</v>
      </c>
      <c r="D1164" s="5" t="s">
        <v>22</v>
      </c>
      <c r="E1164" s="10">
        <v>1.91</v>
      </c>
      <c r="F1164" s="10">
        <v>10.37</v>
      </c>
      <c r="G1164" s="10">
        <v>7.53</v>
      </c>
      <c r="H1164" s="10">
        <v>1.93</v>
      </c>
      <c r="I1164" s="8">
        <f t="shared" si="58"/>
        <v>2.92553646</v>
      </c>
      <c r="K1164" s="8">
        <f t="shared" ref="K1164:K1227" si="60">0.2811*G1164^2.0635</f>
        <v>18.118710211652342</v>
      </c>
      <c r="L1164" s="8">
        <f t="shared" si="59"/>
        <v>9.059355105826171</v>
      </c>
    </row>
    <row r="1165" spans="1:12" x14ac:dyDescent="0.25">
      <c r="A1165" s="1">
        <v>1166</v>
      </c>
      <c r="B1165" s="1">
        <v>259</v>
      </c>
      <c r="C1165" s="3" t="s">
        <v>63</v>
      </c>
      <c r="D1165" s="5" t="s">
        <v>22</v>
      </c>
      <c r="E1165" s="10">
        <v>1.58</v>
      </c>
      <c r="F1165" s="10">
        <v>7.81</v>
      </c>
      <c r="G1165" s="10">
        <v>5.76</v>
      </c>
      <c r="H1165" s="10">
        <v>2.09</v>
      </c>
      <c r="I1165" s="8">
        <f t="shared" si="58"/>
        <v>3.4307057399999992</v>
      </c>
      <c r="K1165" s="8">
        <f t="shared" si="60"/>
        <v>10.422997657250791</v>
      </c>
      <c r="L1165" s="8">
        <f t="shared" si="59"/>
        <v>5.2114988286253956</v>
      </c>
    </row>
    <row r="1166" spans="1:12" x14ac:dyDescent="0.25">
      <c r="A1166" s="1">
        <v>1167</v>
      </c>
      <c r="B1166" s="1">
        <v>260</v>
      </c>
      <c r="C1166" s="3" t="s">
        <v>63</v>
      </c>
      <c r="D1166" s="5" t="s">
        <v>22</v>
      </c>
      <c r="E1166" s="10">
        <v>1.67</v>
      </c>
      <c r="F1166" s="10">
        <v>8.36</v>
      </c>
      <c r="G1166" s="10">
        <v>8.0500000000000007</v>
      </c>
      <c r="H1166" s="10">
        <v>1.94</v>
      </c>
      <c r="I1166" s="8">
        <f t="shared" si="58"/>
        <v>2.9559314399999996</v>
      </c>
      <c r="K1166" s="8">
        <f t="shared" si="60"/>
        <v>20.795561189807074</v>
      </c>
      <c r="L1166" s="8">
        <f t="shared" si="59"/>
        <v>10.397780594903537</v>
      </c>
    </row>
    <row r="1167" spans="1:12" x14ac:dyDescent="0.25">
      <c r="A1167" s="1">
        <v>1168</v>
      </c>
      <c r="B1167" s="1">
        <v>261</v>
      </c>
      <c r="C1167" s="3" t="s">
        <v>63</v>
      </c>
      <c r="D1167" s="5" t="s">
        <v>22</v>
      </c>
      <c r="E1167" s="10">
        <v>2.14</v>
      </c>
      <c r="F1167" s="10">
        <v>9.39</v>
      </c>
      <c r="G1167" s="10">
        <v>7.37</v>
      </c>
      <c r="H1167" s="10">
        <v>2</v>
      </c>
      <c r="I1167" s="8">
        <f t="shared" si="58"/>
        <v>3.1415999999999999</v>
      </c>
      <c r="K1167" s="8">
        <f t="shared" si="60"/>
        <v>17.333250233429752</v>
      </c>
      <c r="L1167" s="8">
        <f t="shared" si="59"/>
        <v>8.6666251167148758</v>
      </c>
    </row>
    <row r="1168" spans="1:12" x14ac:dyDescent="0.25">
      <c r="A1168" s="1">
        <v>1169</v>
      </c>
      <c r="B1168" s="1">
        <v>262</v>
      </c>
      <c r="C1168" s="3" t="s">
        <v>63</v>
      </c>
      <c r="D1168" s="5" t="s">
        <v>22</v>
      </c>
      <c r="E1168" s="10">
        <v>1.95</v>
      </c>
      <c r="F1168" s="10">
        <v>11.12</v>
      </c>
      <c r="G1168" s="10">
        <v>7.66</v>
      </c>
      <c r="H1168" s="10">
        <v>1.77</v>
      </c>
      <c r="I1168" s="8">
        <f t="shared" si="58"/>
        <v>2.4605796600000001</v>
      </c>
      <c r="K1168" s="8">
        <f t="shared" si="60"/>
        <v>18.770114061980465</v>
      </c>
      <c r="L1168" s="8">
        <f t="shared" si="59"/>
        <v>9.3850570309902324</v>
      </c>
    </row>
    <row r="1169" spans="1:12" x14ac:dyDescent="0.25">
      <c r="A1169" s="1">
        <v>1170</v>
      </c>
      <c r="B1169" s="1">
        <v>263</v>
      </c>
      <c r="C1169" s="3" t="s">
        <v>63</v>
      </c>
      <c r="D1169" s="5" t="s">
        <v>22</v>
      </c>
      <c r="E1169" s="10">
        <v>2.0099999999999998</v>
      </c>
      <c r="F1169" s="10">
        <v>11.89</v>
      </c>
      <c r="G1169" s="10">
        <v>6.94</v>
      </c>
      <c r="H1169" s="10">
        <v>1.7</v>
      </c>
      <c r="I1169" s="8">
        <f t="shared" si="58"/>
        <v>2.2698059999999995</v>
      </c>
      <c r="K1169" s="8">
        <f t="shared" si="60"/>
        <v>15.311090125814209</v>
      </c>
      <c r="L1169" s="8">
        <f t="shared" si="59"/>
        <v>7.6555450629071045</v>
      </c>
    </row>
    <row r="1170" spans="1:12" x14ac:dyDescent="0.25">
      <c r="A1170" s="1">
        <v>1171</v>
      </c>
      <c r="B1170" s="1">
        <v>264</v>
      </c>
      <c r="C1170" s="3" t="s">
        <v>63</v>
      </c>
      <c r="D1170" s="5" t="s">
        <v>22</v>
      </c>
      <c r="E1170" s="10">
        <v>1.67</v>
      </c>
      <c r="F1170" s="10">
        <v>10.38</v>
      </c>
      <c r="G1170" s="10">
        <v>4.0599999999999996</v>
      </c>
      <c r="H1170" s="10">
        <v>1.71</v>
      </c>
      <c r="I1170" s="8">
        <f t="shared" si="58"/>
        <v>2.2965881399999999</v>
      </c>
      <c r="K1170" s="8">
        <f t="shared" si="60"/>
        <v>5.0647068831623638</v>
      </c>
      <c r="L1170" s="8">
        <f t="shared" si="59"/>
        <v>2.5323534415811819</v>
      </c>
    </row>
    <row r="1171" spans="1:12" x14ac:dyDescent="0.25">
      <c r="A1171" s="1">
        <v>1172</v>
      </c>
      <c r="B1171" s="1">
        <v>265</v>
      </c>
      <c r="C1171" s="3" t="s">
        <v>63</v>
      </c>
      <c r="D1171" s="5" t="s">
        <v>22</v>
      </c>
      <c r="E1171" s="10">
        <v>1.95</v>
      </c>
      <c r="F1171" s="10">
        <v>7.92</v>
      </c>
      <c r="G1171" s="10">
        <v>6.27</v>
      </c>
      <c r="H1171" s="10">
        <v>2.06</v>
      </c>
      <c r="I1171" s="8">
        <f t="shared" si="58"/>
        <v>3.3329234399999996</v>
      </c>
      <c r="K1171" s="8">
        <f t="shared" si="60"/>
        <v>12.417163971357926</v>
      </c>
      <c r="L1171" s="8">
        <f t="shared" si="59"/>
        <v>6.208581985678963</v>
      </c>
    </row>
    <row r="1172" spans="1:12" x14ac:dyDescent="0.25">
      <c r="A1172" s="1">
        <v>1173</v>
      </c>
      <c r="B1172" s="1">
        <v>266</v>
      </c>
      <c r="C1172" s="3" t="s">
        <v>63</v>
      </c>
      <c r="D1172" s="5" t="s">
        <v>22</v>
      </c>
      <c r="E1172" s="10">
        <v>1.92</v>
      </c>
      <c r="F1172" s="10">
        <v>7.95</v>
      </c>
      <c r="G1172" s="10">
        <v>8.91</v>
      </c>
      <c r="H1172" s="10">
        <v>1.71</v>
      </c>
      <c r="I1172" s="8">
        <f t="shared" si="58"/>
        <v>2.2965881399999999</v>
      </c>
      <c r="K1172" s="8">
        <f t="shared" si="60"/>
        <v>25.640913163770968</v>
      </c>
      <c r="L1172" s="8">
        <f t="shared" si="59"/>
        <v>12.820456581885484</v>
      </c>
    </row>
    <row r="1173" spans="1:12" x14ac:dyDescent="0.25">
      <c r="A1173" s="1">
        <v>1174</v>
      </c>
      <c r="B1173" s="1">
        <v>267</v>
      </c>
      <c r="C1173" s="3" t="s">
        <v>63</v>
      </c>
      <c r="D1173" s="5" t="s">
        <v>22</v>
      </c>
      <c r="E1173" s="10">
        <v>1.1599999999999999</v>
      </c>
      <c r="F1173" s="10">
        <v>10.16</v>
      </c>
      <c r="G1173" s="10">
        <v>8.6199999999999992</v>
      </c>
      <c r="H1173" s="10">
        <v>1.84</v>
      </c>
      <c r="I1173" s="8">
        <f t="shared" si="58"/>
        <v>2.65905024</v>
      </c>
      <c r="K1173" s="8">
        <f t="shared" si="60"/>
        <v>23.948597703926112</v>
      </c>
      <c r="L1173" s="8">
        <f t="shared" si="59"/>
        <v>11.974298851963056</v>
      </c>
    </row>
    <row r="1174" spans="1:12" x14ac:dyDescent="0.25">
      <c r="A1174" s="1">
        <v>1175</v>
      </c>
      <c r="B1174" s="1">
        <v>268</v>
      </c>
      <c r="C1174" s="3" t="s">
        <v>63</v>
      </c>
      <c r="D1174" s="5" t="s">
        <v>22</v>
      </c>
      <c r="E1174" s="10">
        <v>1.43</v>
      </c>
      <c r="F1174" s="10">
        <v>6.67</v>
      </c>
      <c r="G1174" s="10">
        <v>3.26</v>
      </c>
      <c r="H1174" s="10">
        <v>1.89</v>
      </c>
      <c r="I1174" s="8">
        <f t="shared" si="58"/>
        <v>2.8055273399999998</v>
      </c>
      <c r="K1174" s="8">
        <f t="shared" si="60"/>
        <v>3.2202186680862033</v>
      </c>
      <c r="L1174" s="8">
        <f t="shared" si="59"/>
        <v>1.6101093340431016</v>
      </c>
    </row>
    <row r="1175" spans="1:12" x14ac:dyDescent="0.25">
      <c r="A1175" s="1">
        <v>1176</v>
      </c>
      <c r="B1175" s="1">
        <v>269</v>
      </c>
      <c r="C1175" s="3" t="s">
        <v>63</v>
      </c>
      <c r="D1175" s="5" t="s">
        <v>22</v>
      </c>
      <c r="E1175" s="10">
        <v>1.91</v>
      </c>
      <c r="F1175" s="10">
        <v>5.77</v>
      </c>
      <c r="G1175" s="10">
        <v>3.99</v>
      </c>
      <c r="H1175" s="10">
        <v>1.96</v>
      </c>
      <c r="I1175" s="8">
        <f t="shared" si="58"/>
        <v>3.0171926399999998</v>
      </c>
      <c r="K1175" s="8">
        <f t="shared" si="60"/>
        <v>4.8861682330583314</v>
      </c>
      <c r="L1175" s="8">
        <f t="shared" si="59"/>
        <v>2.4430841165291657</v>
      </c>
    </row>
    <row r="1176" spans="1:12" x14ac:dyDescent="0.25">
      <c r="A1176" s="1">
        <v>1177</v>
      </c>
      <c r="B1176" s="1">
        <v>270</v>
      </c>
      <c r="C1176" s="3" t="s">
        <v>63</v>
      </c>
      <c r="D1176" s="5" t="s">
        <v>22</v>
      </c>
      <c r="E1176" s="10">
        <v>1.82</v>
      </c>
      <c r="F1176" s="10">
        <v>7.48</v>
      </c>
      <c r="G1176" s="10">
        <v>3.79</v>
      </c>
      <c r="H1176" s="10">
        <v>2.0099999999999998</v>
      </c>
      <c r="I1176" s="8">
        <f t="shared" si="58"/>
        <v>3.1730945399999992</v>
      </c>
      <c r="K1176" s="8">
        <f t="shared" si="60"/>
        <v>4.3942307146486117</v>
      </c>
      <c r="L1176" s="8">
        <f t="shared" si="59"/>
        <v>2.1971153573243059</v>
      </c>
    </row>
    <row r="1177" spans="1:12" x14ac:dyDescent="0.25">
      <c r="A1177" s="1">
        <v>1178</v>
      </c>
      <c r="B1177" s="1">
        <v>271</v>
      </c>
      <c r="C1177" s="3" t="s">
        <v>63</v>
      </c>
      <c r="D1177" s="5" t="s">
        <v>22</v>
      </c>
      <c r="E1177" s="10">
        <v>1.41</v>
      </c>
      <c r="F1177" s="10">
        <v>7.01</v>
      </c>
      <c r="G1177" s="10">
        <v>7.36</v>
      </c>
      <c r="H1177" s="10">
        <v>1.92</v>
      </c>
      <c r="I1177" s="8">
        <f t="shared" si="58"/>
        <v>2.8952985600000001</v>
      </c>
      <c r="K1177" s="8">
        <f t="shared" si="60"/>
        <v>17.284754498867454</v>
      </c>
      <c r="L1177" s="8">
        <f t="shared" si="59"/>
        <v>8.6423772494337268</v>
      </c>
    </row>
    <row r="1178" spans="1:12" x14ac:dyDescent="0.25">
      <c r="A1178" s="1">
        <v>1179</v>
      </c>
      <c r="B1178" s="1">
        <v>272</v>
      </c>
      <c r="C1178" s="3" t="s">
        <v>63</v>
      </c>
      <c r="D1178" s="5" t="s">
        <v>22</v>
      </c>
      <c r="E1178" s="10">
        <v>1.79</v>
      </c>
      <c r="F1178" s="10">
        <v>7.07</v>
      </c>
      <c r="G1178" s="10">
        <v>7.91</v>
      </c>
      <c r="H1178" s="10">
        <v>1.85</v>
      </c>
      <c r="I1178" s="8">
        <f t="shared" si="58"/>
        <v>2.6880315000000001</v>
      </c>
      <c r="K1178" s="8">
        <f t="shared" si="60"/>
        <v>20.056170793140382</v>
      </c>
      <c r="L1178" s="8">
        <f t="shared" si="59"/>
        <v>10.028085396570191</v>
      </c>
    </row>
    <row r="1179" spans="1:12" x14ac:dyDescent="0.25">
      <c r="A1179" s="1">
        <v>1180</v>
      </c>
      <c r="B1179" s="1">
        <v>273</v>
      </c>
      <c r="C1179" s="3" t="s">
        <v>63</v>
      </c>
      <c r="D1179" s="5" t="s">
        <v>22</v>
      </c>
      <c r="E1179" s="10">
        <v>1.17</v>
      </c>
      <c r="F1179" s="10">
        <v>6.64</v>
      </c>
      <c r="G1179" s="10">
        <v>4.28</v>
      </c>
      <c r="H1179" s="10">
        <v>1.73</v>
      </c>
      <c r="I1179" s="8">
        <f t="shared" si="58"/>
        <v>2.3506236600000001</v>
      </c>
      <c r="K1179" s="8">
        <f t="shared" si="60"/>
        <v>5.6473546627061832</v>
      </c>
      <c r="L1179" s="8">
        <f t="shared" si="59"/>
        <v>2.8236773313530916</v>
      </c>
    </row>
    <row r="1180" spans="1:12" x14ac:dyDescent="0.25">
      <c r="A1180" s="1">
        <v>1181</v>
      </c>
      <c r="B1180" s="1">
        <v>274</v>
      </c>
      <c r="C1180" s="3" t="s">
        <v>63</v>
      </c>
      <c r="D1180" s="5" t="s">
        <v>22</v>
      </c>
      <c r="E1180" s="10">
        <v>2.1</v>
      </c>
      <c r="F1180" s="10">
        <v>5.29</v>
      </c>
      <c r="G1180" s="10">
        <v>6.04</v>
      </c>
      <c r="H1180" s="10">
        <v>1.88</v>
      </c>
      <c r="I1180" s="8">
        <f t="shared" si="58"/>
        <v>2.7759177599999996</v>
      </c>
      <c r="K1180" s="8">
        <f t="shared" si="60"/>
        <v>11.49557153833489</v>
      </c>
      <c r="L1180" s="8">
        <f t="shared" si="59"/>
        <v>5.7477857691674448</v>
      </c>
    </row>
    <row r="1181" spans="1:12" x14ac:dyDescent="0.25">
      <c r="A1181" s="1">
        <v>1182</v>
      </c>
      <c r="B1181" s="1">
        <v>275</v>
      </c>
      <c r="C1181" s="3" t="s">
        <v>63</v>
      </c>
      <c r="D1181" s="5" t="s">
        <v>22</v>
      </c>
      <c r="E1181" s="10">
        <v>1.92</v>
      </c>
      <c r="F1181" s="10">
        <v>5.13</v>
      </c>
      <c r="G1181" s="10">
        <v>8.0399999999999991</v>
      </c>
      <c r="H1181" s="10">
        <v>1.88</v>
      </c>
      <c r="I1181" s="8">
        <f t="shared" si="58"/>
        <v>2.7759177599999996</v>
      </c>
      <c r="K1181" s="8">
        <f t="shared" si="60"/>
        <v>20.742290015160979</v>
      </c>
      <c r="L1181" s="8">
        <f t="shared" si="59"/>
        <v>10.371145007580489</v>
      </c>
    </row>
    <row r="1182" spans="1:12" x14ac:dyDescent="0.25">
      <c r="A1182" s="1">
        <v>1183</v>
      </c>
      <c r="B1182" s="1">
        <v>276</v>
      </c>
      <c r="C1182" s="3" t="s">
        <v>63</v>
      </c>
      <c r="D1182" s="5" t="s">
        <v>22</v>
      </c>
      <c r="E1182" s="10">
        <v>1.1499999999999999</v>
      </c>
      <c r="F1182" s="10">
        <v>11.91</v>
      </c>
      <c r="G1182" s="10">
        <v>7.4</v>
      </c>
      <c r="H1182" s="10">
        <v>1.88</v>
      </c>
      <c r="I1182" s="8">
        <f t="shared" si="58"/>
        <v>2.7759177599999996</v>
      </c>
      <c r="K1182" s="8">
        <f t="shared" si="60"/>
        <v>17.479157644004008</v>
      </c>
      <c r="L1182" s="8">
        <f t="shared" si="59"/>
        <v>8.7395788220020041</v>
      </c>
    </row>
    <row r="1183" spans="1:12" x14ac:dyDescent="0.25">
      <c r="A1183" s="1">
        <v>1184</v>
      </c>
      <c r="B1183" s="1">
        <v>277</v>
      </c>
      <c r="C1183" s="3" t="s">
        <v>63</v>
      </c>
      <c r="D1183" s="5" t="s">
        <v>22</v>
      </c>
      <c r="E1183" s="10">
        <v>1.21</v>
      </c>
      <c r="F1183" s="10">
        <v>7.99</v>
      </c>
      <c r="G1183" s="10">
        <v>6.25</v>
      </c>
      <c r="H1183" s="10">
        <v>2.04</v>
      </c>
      <c r="I1183" s="8">
        <f t="shared" si="58"/>
        <v>3.2685206399999998</v>
      </c>
      <c r="K1183" s="8">
        <f t="shared" si="60"/>
        <v>12.335571116241951</v>
      </c>
      <c r="L1183" s="8">
        <f t="shared" si="59"/>
        <v>6.1677855581209755</v>
      </c>
    </row>
    <row r="1184" spans="1:12" x14ac:dyDescent="0.25">
      <c r="A1184" s="1">
        <v>1185</v>
      </c>
      <c r="B1184" s="1">
        <v>278</v>
      </c>
      <c r="C1184" s="3" t="s">
        <v>63</v>
      </c>
      <c r="D1184" s="5" t="s">
        <v>22</v>
      </c>
      <c r="E1184" s="10">
        <v>1.54</v>
      </c>
      <c r="F1184" s="10">
        <v>7.69</v>
      </c>
      <c r="G1184" s="10">
        <v>6.54</v>
      </c>
      <c r="H1184" s="10">
        <v>2.02</v>
      </c>
      <c r="I1184" s="8">
        <f t="shared" si="58"/>
        <v>3.20474616</v>
      </c>
      <c r="K1184" s="8">
        <f t="shared" si="60"/>
        <v>13.545827141723132</v>
      </c>
      <c r="L1184" s="8">
        <f t="shared" si="59"/>
        <v>6.772913570861566</v>
      </c>
    </row>
    <row r="1185" spans="1:12" x14ac:dyDescent="0.25">
      <c r="A1185" s="1">
        <v>1186</v>
      </c>
      <c r="B1185" s="1">
        <v>279</v>
      </c>
      <c r="C1185" s="3" t="s">
        <v>63</v>
      </c>
      <c r="D1185" s="5" t="s">
        <v>22</v>
      </c>
      <c r="E1185" s="10">
        <v>1.95</v>
      </c>
      <c r="F1185" s="10">
        <v>9.76</v>
      </c>
      <c r="G1185" s="10">
        <v>6.05</v>
      </c>
      <c r="H1185" s="10">
        <v>1.93</v>
      </c>
      <c r="I1185" s="8">
        <f t="shared" si="58"/>
        <v>2.92553646</v>
      </c>
      <c r="K1185" s="8">
        <f t="shared" si="60"/>
        <v>11.534879479083628</v>
      </c>
      <c r="L1185" s="8">
        <f t="shared" si="59"/>
        <v>5.767439739541814</v>
      </c>
    </row>
    <row r="1186" spans="1:12" x14ac:dyDescent="0.25">
      <c r="A1186" s="1">
        <v>1187</v>
      </c>
      <c r="B1186" s="1">
        <v>280</v>
      </c>
      <c r="C1186" s="3" t="s">
        <v>63</v>
      </c>
      <c r="D1186" s="5" t="s">
        <v>22</v>
      </c>
      <c r="E1186" s="10">
        <v>2.35</v>
      </c>
      <c r="F1186" s="10">
        <v>6.53</v>
      </c>
      <c r="G1186" s="10">
        <v>4.79</v>
      </c>
      <c r="H1186" s="10">
        <v>1.86</v>
      </c>
      <c r="I1186" s="8">
        <f t="shared" si="58"/>
        <v>2.7171698400000004</v>
      </c>
      <c r="K1186" s="8">
        <f t="shared" si="60"/>
        <v>7.1241520097860302</v>
      </c>
      <c r="L1186" s="8">
        <f t="shared" si="59"/>
        <v>3.5620760048930151</v>
      </c>
    </row>
    <row r="1187" spans="1:12" x14ac:dyDescent="0.25">
      <c r="A1187" s="1">
        <v>1188</v>
      </c>
      <c r="B1187" s="1">
        <v>281</v>
      </c>
      <c r="C1187" s="3" t="s">
        <v>63</v>
      </c>
      <c r="D1187" s="5" t="s">
        <v>22</v>
      </c>
      <c r="E1187" s="10">
        <v>1.21</v>
      </c>
      <c r="F1187" s="10">
        <v>11.65</v>
      </c>
      <c r="G1187" s="10">
        <v>6.39</v>
      </c>
      <c r="H1187" s="10">
        <v>2.02</v>
      </c>
      <c r="I1187" s="8">
        <f t="shared" si="58"/>
        <v>3.20474616</v>
      </c>
      <c r="K1187" s="8">
        <f t="shared" si="60"/>
        <v>12.912545546421748</v>
      </c>
      <c r="L1187" s="8">
        <f t="shared" si="59"/>
        <v>6.4562727732108742</v>
      </c>
    </row>
    <row r="1188" spans="1:12" x14ac:dyDescent="0.25">
      <c r="A1188" s="1">
        <v>1189</v>
      </c>
      <c r="B1188" s="1">
        <v>282</v>
      </c>
      <c r="C1188" s="3" t="s">
        <v>63</v>
      </c>
      <c r="D1188" s="5" t="s">
        <v>22</v>
      </c>
      <c r="E1188" s="10">
        <v>2.02</v>
      </c>
      <c r="F1188" s="10">
        <v>10.5</v>
      </c>
      <c r="G1188" s="10">
        <v>7.13</v>
      </c>
      <c r="H1188" s="10">
        <v>2.0299999999999998</v>
      </c>
      <c r="I1188" s="8">
        <f t="shared" si="58"/>
        <v>3.2365548599999991</v>
      </c>
      <c r="K1188" s="8">
        <f t="shared" si="60"/>
        <v>16.188667026606463</v>
      </c>
      <c r="L1188" s="8">
        <f t="shared" si="59"/>
        <v>8.0943335133032317</v>
      </c>
    </row>
    <row r="1189" spans="1:12" x14ac:dyDescent="0.25">
      <c r="A1189" s="1">
        <v>1190</v>
      </c>
      <c r="B1189" s="1">
        <v>283</v>
      </c>
      <c r="C1189" s="3" t="s">
        <v>63</v>
      </c>
      <c r="D1189" s="5" t="s">
        <v>22</v>
      </c>
      <c r="E1189" s="10">
        <v>2.08</v>
      </c>
      <c r="F1189" s="10">
        <v>5.63</v>
      </c>
      <c r="G1189" s="10">
        <v>8.24</v>
      </c>
      <c r="H1189" s="10">
        <v>1.92</v>
      </c>
      <c r="I1189" s="8">
        <f t="shared" si="58"/>
        <v>2.8952985600000001</v>
      </c>
      <c r="K1189" s="8">
        <f t="shared" si="60"/>
        <v>21.82110037122558</v>
      </c>
      <c r="L1189" s="8">
        <f t="shared" si="59"/>
        <v>10.91055018561279</v>
      </c>
    </row>
    <row r="1190" spans="1:12" x14ac:dyDescent="0.25">
      <c r="A1190" s="1">
        <v>1191</v>
      </c>
      <c r="B1190" s="1">
        <v>284</v>
      </c>
      <c r="C1190" s="3" t="s">
        <v>63</v>
      </c>
      <c r="D1190" s="5" t="s">
        <v>22</v>
      </c>
      <c r="E1190" s="10">
        <v>1.36</v>
      </c>
      <c r="F1190" s="10">
        <v>7.92</v>
      </c>
      <c r="G1190" s="10">
        <v>6.82</v>
      </c>
      <c r="H1190" s="10">
        <v>1.78</v>
      </c>
      <c r="I1190" s="8">
        <f t="shared" si="58"/>
        <v>2.4884613600000001</v>
      </c>
      <c r="K1190" s="8">
        <f t="shared" si="60"/>
        <v>14.769809801444969</v>
      </c>
      <c r="L1190" s="8">
        <f t="shared" si="59"/>
        <v>7.3849049007224847</v>
      </c>
    </row>
    <row r="1191" spans="1:12" x14ac:dyDescent="0.25">
      <c r="A1191" s="1">
        <v>1192</v>
      </c>
      <c r="B1191" s="1">
        <v>285</v>
      </c>
      <c r="C1191" s="3" t="s">
        <v>63</v>
      </c>
      <c r="D1191" s="5" t="s">
        <v>22</v>
      </c>
      <c r="E1191" s="10">
        <v>1.73</v>
      </c>
      <c r="F1191" s="10">
        <v>11.15</v>
      </c>
      <c r="G1191" s="10">
        <v>7.57</v>
      </c>
      <c r="H1191" s="10">
        <v>1.96</v>
      </c>
      <c r="I1191" s="8">
        <f t="shared" si="58"/>
        <v>3.0171926399999998</v>
      </c>
      <c r="K1191" s="8">
        <f t="shared" si="60"/>
        <v>18.317879296341875</v>
      </c>
      <c r="L1191" s="8">
        <f t="shared" si="59"/>
        <v>9.1589396481709375</v>
      </c>
    </row>
    <row r="1192" spans="1:12" x14ac:dyDescent="0.25">
      <c r="A1192" s="1">
        <v>1193</v>
      </c>
      <c r="B1192" s="1">
        <v>286</v>
      </c>
      <c r="C1192" s="3" t="s">
        <v>63</v>
      </c>
      <c r="D1192" s="5" t="s">
        <v>22</v>
      </c>
      <c r="E1192" s="10">
        <v>1.72</v>
      </c>
      <c r="F1192" s="10">
        <v>11.61</v>
      </c>
      <c r="G1192" s="10">
        <v>3.96</v>
      </c>
      <c r="H1192" s="10">
        <v>1.86</v>
      </c>
      <c r="I1192" s="8">
        <f t="shared" si="58"/>
        <v>2.7171698400000004</v>
      </c>
      <c r="K1192" s="8">
        <f t="shared" si="60"/>
        <v>4.8106621947470236</v>
      </c>
      <c r="L1192" s="8">
        <f t="shared" si="59"/>
        <v>2.4053310973735118</v>
      </c>
    </row>
    <row r="1193" spans="1:12" x14ac:dyDescent="0.25">
      <c r="A1193" s="1">
        <v>1194</v>
      </c>
      <c r="B1193" s="1">
        <v>287</v>
      </c>
      <c r="C1193" s="3" t="s">
        <v>63</v>
      </c>
      <c r="D1193" s="5" t="s">
        <v>22</v>
      </c>
      <c r="E1193" s="10">
        <v>1.25</v>
      </c>
      <c r="F1193" s="10">
        <v>8.27</v>
      </c>
      <c r="G1193" s="10">
        <v>5.77</v>
      </c>
      <c r="H1193" s="10">
        <v>1.82</v>
      </c>
      <c r="I1193" s="8">
        <f t="shared" si="58"/>
        <v>2.6015589600000002</v>
      </c>
      <c r="K1193" s="8">
        <f t="shared" si="60"/>
        <v>10.460372157171879</v>
      </c>
      <c r="L1193" s="8">
        <f t="shared" si="59"/>
        <v>5.2301860785859393</v>
      </c>
    </row>
    <row r="1194" spans="1:12" x14ac:dyDescent="0.25">
      <c r="A1194" s="1">
        <v>1195</v>
      </c>
      <c r="B1194" s="1">
        <v>288</v>
      </c>
      <c r="C1194" s="3" t="s">
        <v>63</v>
      </c>
      <c r="D1194" s="5" t="s">
        <v>22</v>
      </c>
      <c r="E1194" s="10">
        <v>2.3199999999999998</v>
      </c>
      <c r="F1194" s="10">
        <v>9.2899999999999991</v>
      </c>
      <c r="G1194" s="10">
        <v>3.06</v>
      </c>
      <c r="H1194" s="10">
        <v>1.8</v>
      </c>
      <c r="I1194" s="8">
        <f t="shared" si="58"/>
        <v>2.5446960000000001</v>
      </c>
      <c r="K1194" s="8">
        <f t="shared" si="60"/>
        <v>2.8258363617045612</v>
      </c>
      <c r="L1194" s="8">
        <f t="shared" si="59"/>
        <v>1.4129181808522806</v>
      </c>
    </row>
    <row r="1195" spans="1:12" x14ac:dyDescent="0.25">
      <c r="A1195" s="1">
        <v>1196</v>
      </c>
      <c r="B1195" s="1">
        <v>289</v>
      </c>
      <c r="C1195" s="3" t="s">
        <v>63</v>
      </c>
      <c r="D1195" s="5" t="s">
        <v>22</v>
      </c>
      <c r="E1195" s="10">
        <v>1.1200000000000001</v>
      </c>
      <c r="F1195" s="10">
        <v>6.17</v>
      </c>
      <c r="G1195" s="10">
        <v>4.4800000000000004</v>
      </c>
      <c r="H1195" s="10">
        <v>1.84</v>
      </c>
      <c r="I1195" s="8">
        <f t="shared" si="58"/>
        <v>2.65905024</v>
      </c>
      <c r="K1195" s="8">
        <f t="shared" si="60"/>
        <v>6.2054463825074784</v>
      </c>
      <c r="L1195" s="8">
        <f t="shared" si="59"/>
        <v>3.1027231912537392</v>
      </c>
    </row>
    <row r="1196" spans="1:12" x14ac:dyDescent="0.25">
      <c r="A1196" s="1">
        <v>1197</v>
      </c>
      <c r="B1196" s="1">
        <v>290</v>
      </c>
      <c r="C1196" s="3" t="s">
        <v>63</v>
      </c>
      <c r="D1196" s="5" t="s">
        <v>22</v>
      </c>
      <c r="E1196" s="10">
        <v>2.27</v>
      </c>
      <c r="F1196" s="10">
        <v>11.94</v>
      </c>
      <c r="G1196" s="10">
        <v>7.36</v>
      </c>
      <c r="H1196" s="10">
        <v>2</v>
      </c>
      <c r="I1196" s="8">
        <f t="shared" si="58"/>
        <v>3.1415999999999999</v>
      </c>
      <c r="K1196" s="8">
        <f t="shared" si="60"/>
        <v>17.284754498867454</v>
      </c>
      <c r="L1196" s="8">
        <f t="shared" si="59"/>
        <v>8.6423772494337268</v>
      </c>
    </row>
    <row r="1197" spans="1:12" x14ac:dyDescent="0.25">
      <c r="A1197" s="1">
        <v>1198</v>
      </c>
      <c r="B1197" s="1">
        <v>291</v>
      </c>
      <c r="C1197" s="3" t="s">
        <v>63</v>
      </c>
      <c r="D1197" s="5" t="s">
        <v>22</v>
      </c>
      <c r="E1197" s="10">
        <v>1.32</v>
      </c>
      <c r="F1197" s="10">
        <v>6.62</v>
      </c>
      <c r="G1197" s="10">
        <v>8.9499999999999993</v>
      </c>
      <c r="H1197" s="10">
        <v>1.8</v>
      </c>
      <c r="I1197" s="8">
        <f t="shared" si="58"/>
        <v>2.5446960000000001</v>
      </c>
      <c r="K1197" s="8">
        <f t="shared" si="60"/>
        <v>25.879011226164575</v>
      </c>
      <c r="L1197" s="8">
        <f t="shared" si="59"/>
        <v>12.939505613082288</v>
      </c>
    </row>
    <row r="1198" spans="1:12" x14ac:dyDescent="0.25">
      <c r="A1198" s="1">
        <v>1199</v>
      </c>
      <c r="B1198" s="1">
        <v>292</v>
      </c>
      <c r="C1198" s="3" t="s">
        <v>63</v>
      </c>
      <c r="D1198" s="5" t="s">
        <v>22</v>
      </c>
      <c r="E1198" s="10">
        <v>1.52</v>
      </c>
      <c r="F1198" s="10">
        <v>11.6</v>
      </c>
      <c r="G1198" s="10">
        <v>3.6</v>
      </c>
      <c r="H1198" s="10">
        <v>2.04</v>
      </c>
      <c r="I1198" s="8">
        <f t="shared" si="58"/>
        <v>3.2685206399999998</v>
      </c>
      <c r="K1198" s="8">
        <f t="shared" si="60"/>
        <v>3.9517645040000882</v>
      </c>
      <c r="L1198" s="8">
        <f t="shared" si="59"/>
        <v>1.9758822520000441</v>
      </c>
    </row>
    <row r="1199" spans="1:12" x14ac:dyDescent="0.25">
      <c r="A1199" s="1">
        <v>1200</v>
      </c>
      <c r="B1199" s="1">
        <v>293</v>
      </c>
      <c r="C1199" s="3" t="s">
        <v>63</v>
      </c>
      <c r="D1199" s="5" t="s">
        <v>22</v>
      </c>
      <c r="E1199" s="10">
        <v>1.54</v>
      </c>
      <c r="F1199" s="10">
        <v>9.5500000000000007</v>
      </c>
      <c r="G1199" s="10">
        <v>5.41</v>
      </c>
      <c r="H1199" s="10">
        <v>1.8</v>
      </c>
      <c r="I1199" s="8">
        <f t="shared" si="58"/>
        <v>2.5446960000000001</v>
      </c>
      <c r="K1199" s="8">
        <f t="shared" si="60"/>
        <v>9.1582691375070411</v>
      </c>
      <c r="L1199" s="8">
        <f t="shared" si="59"/>
        <v>4.5791345687535205</v>
      </c>
    </row>
    <row r="1200" spans="1:12" x14ac:dyDescent="0.25">
      <c r="A1200" s="1">
        <v>1201</v>
      </c>
      <c r="B1200" s="1">
        <v>294</v>
      </c>
      <c r="C1200" s="3" t="s">
        <v>63</v>
      </c>
      <c r="D1200" s="5" t="s">
        <v>22</v>
      </c>
      <c r="E1200" s="10">
        <v>1.96</v>
      </c>
      <c r="F1200" s="10">
        <v>9.25</v>
      </c>
      <c r="G1200" s="10">
        <v>7.8</v>
      </c>
      <c r="H1200" s="10">
        <v>2.04</v>
      </c>
      <c r="I1200" s="8">
        <f t="shared" si="58"/>
        <v>3.2685206399999998</v>
      </c>
      <c r="K1200" s="8">
        <f t="shared" si="60"/>
        <v>19.484894481614912</v>
      </c>
      <c r="L1200" s="8">
        <f t="shared" si="59"/>
        <v>9.7424472408074561</v>
      </c>
    </row>
    <row r="1201" spans="1:12" x14ac:dyDescent="0.25">
      <c r="A1201" s="1">
        <v>1202</v>
      </c>
      <c r="B1201" s="1">
        <v>295</v>
      </c>
      <c r="C1201" s="3" t="s">
        <v>63</v>
      </c>
      <c r="D1201" s="5" t="s">
        <v>22</v>
      </c>
      <c r="E1201" s="10">
        <v>1.57</v>
      </c>
      <c r="F1201" s="10">
        <v>8.59</v>
      </c>
      <c r="G1201" s="10">
        <v>4.22</v>
      </c>
      <c r="H1201" s="10">
        <v>1.96</v>
      </c>
      <c r="I1201" s="8">
        <f t="shared" si="58"/>
        <v>3.0171926399999998</v>
      </c>
      <c r="K1201" s="8">
        <f t="shared" si="60"/>
        <v>5.4852078411739926</v>
      </c>
      <c r="L1201" s="8">
        <f t="shared" si="59"/>
        <v>2.7426039205869963</v>
      </c>
    </row>
    <row r="1202" spans="1:12" x14ac:dyDescent="0.25">
      <c r="A1202" s="1">
        <v>1203</v>
      </c>
      <c r="B1202" s="1">
        <v>296</v>
      </c>
      <c r="C1202" s="3" t="s">
        <v>63</v>
      </c>
      <c r="D1202" s="5" t="s">
        <v>22</v>
      </c>
      <c r="E1202" s="10">
        <v>1.42</v>
      </c>
      <c r="F1202" s="10">
        <v>6.61</v>
      </c>
      <c r="G1202" s="10">
        <v>6.33</v>
      </c>
      <c r="H1202" s="10">
        <v>1.89</v>
      </c>
      <c r="I1202" s="8">
        <f t="shared" si="58"/>
        <v>2.8055273399999998</v>
      </c>
      <c r="K1202" s="8">
        <f t="shared" si="60"/>
        <v>12.663606328705612</v>
      </c>
      <c r="L1202" s="8">
        <f t="shared" si="59"/>
        <v>6.3318031643528059</v>
      </c>
    </row>
    <row r="1203" spans="1:12" x14ac:dyDescent="0.25">
      <c r="A1203" s="1">
        <v>1204</v>
      </c>
      <c r="B1203" s="1">
        <v>297</v>
      </c>
      <c r="C1203" s="3" t="s">
        <v>63</v>
      </c>
      <c r="D1203" s="5" t="s">
        <v>22</v>
      </c>
      <c r="E1203" s="10">
        <v>1.33</v>
      </c>
      <c r="F1203" s="10">
        <v>6.24</v>
      </c>
      <c r="G1203" s="10">
        <v>7.4</v>
      </c>
      <c r="H1203" s="10">
        <v>1.72</v>
      </c>
      <c r="I1203" s="8">
        <f t="shared" si="58"/>
        <v>2.3235273599999999</v>
      </c>
      <c r="K1203" s="8">
        <f t="shared" si="60"/>
        <v>17.479157644004008</v>
      </c>
      <c r="L1203" s="8">
        <f t="shared" si="59"/>
        <v>8.7395788220020041</v>
      </c>
    </row>
    <row r="1204" spans="1:12" x14ac:dyDescent="0.25">
      <c r="A1204" s="1">
        <v>1205</v>
      </c>
      <c r="B1204" s="1">
        <v>298</v>
      </c>
      <c r="C1204" s="3" t="s">
        <v>63</v>
      </c>
      <c r="D1204" s="5" t="s">
        <v>22</v>
      </c>
      <c r="E1204" s="10">
        <v>1.68</v>
      </c>
      <c r="F1204" s="10">
        <v>6.54</v>
      </c>
      <c r="G1204" s="10">
        <v>6.7</v>
      </c>
      <c r="H1204" s="10">
        <v>1.9</v>
      </c>
      <c r="I1204" s="8">
        <f t="shared" si="58"/>
        <v>2.8352939999999998</v>
      </c>
      <c r="K1204" s="8">
        <f t="shared" si="60"/>
        <v>14.23856430539101</v>
      </c>
      <c r="L1204" s="8">
        <f t="shared" si="59"/>
        <v>7.1192821526955052</v>
      </c>
    </row>
    <row r="1205" spans="1:12" x14ac:dyDescent="0.25">
      <c r="A1205" s="1">
        <v>1206</v>
      </c>
      <c r="B1205" s="1">
        <v>299</v>
      </c>
      <c r="C1205" s="3" t="s">
        <v>63</v>
      </c>
      <c r="D1205" s="5" t="s">
        <v>22</v>
      </c>
      <c r="E1205" s="10">
        <v>1.84</v>
      </c>
      <c r="F1205" s="10">
        <v>6.31</v>
      </c>
      <c r="G1205" s="10">
        <v>4.13</v>
      </c>
      <c r="H1205" s="10">
        <v>2.02</v>
      </c>
      <c r="I1205" s="8">
        <f t="shared" si="58"/>
        <v>3.20474616</v>
      </c>
      <c r="K1205" s="8">
        <f t="shared" si="60"/>
        <v>5.246549530358406</v>
      </c>
      <c r="L1205" s="8">
        <f t="shared" si="59"/>
        <v>2.623274765179203</v>
      </c>
    </row>
    <row r="1206" spans="1:12" x14ac:dyDescent="0.25">
      <c r="A1206" s="1">
        <v>1207</v>
      </c>
      <c r="B1206" s="1">
        <v>300</v>
      </c>
      <c r="C1206" s="3" t="s">
        <v>63</v>
      </c>
      <c r="D1206" s="5" t="s">
        <v>22</v>
      </c>
      <c r="E1206" s="10">
        <v>2.17</v>
      </c>
      <c r="F1206" s="10">
        <v>10.46</v>
      </c>
      <c r="G1206" s="10">
        <v>5.13</v>
      </c>
      <c r="H1206" s="10">
        <v>1.86</v>
      </c>
      <c r="I1206" s="8">
        <f t="shared" si="58"/>
        <v>2.7171698400000004</v>
      </c>
      <c r="K1206" s="8">
        <f t="shared" si="60"/>
        <v>8.2070679378783336</v>
      </c>
      <c r="L1206" s="8">
        <f t="shared" si="59"/>
        <v>4.1035339689391668</v>
      </c>
    </row>
    <row r="1207" spans="1:12" x14ac:dyDescent="0.25">
      <c r="A1207" s="1">
        <v>1208</v>
      </c>
      <c r="B1207" s="1">
        <v>301</v>
      </c>
      <c r="C1207" s="3" t="s">
        <v>63</v>
      </c>
      <c r="D1207" s="5" t="s">
        <v>22</v>
      </c>
      <c r="E1207" s="10">
        <v>2.0499999999999998</v>
      </c>
      <c r="F1207" s="10">
        <v>7.45</v>
      </c>
      <c r="G1207" s="10">
        <v>7.7</v>
      </c>
      <c r="H1207" s="10">
        <v>1.75</v>
      </c>
      <c r="I1207" s="8">
        <f t="shared" si="58"/>
        <v>2.4052875</v>
      </c>
      <c r="K1207" s="8">
        <f t="shared" si="60"/>
        <v>18.972932297820336</v>
      </c>
      <c r="L1207" s="8">
        <f t="shared" si="59"/>
        <v>9.4864661489101678</v>
      </c>
    </row>
    <row r="1208" spans="1:12" x14ac:dyDescent="0.25">
      <c r="A1208" s="1">
        <v>1209</v>
      </c>
      <c r="B1208" s="1">
        <v>302</v>
      </c>
      <c r="C1208" s="3" t="s">
        <v>63</v>
      </c>
      <c r="D1208" s="5" t="s">
        <v>22</v>
      </c>
      <c r="E1208" s="10">
        <v>1.62</v>
      </c>
      <c r="F1208" s="10">
        <v>5.4</v>
      </c>
      <c r="G1208" s="10">
        <v>6.33</v>
      </c>
      <c r="H1208" s="10">
        <v>2.06</v>
      </c>
      <c r="I1208" s="8">
        <f t="shared" si="58"/>
        <v>3.3329234399999996</v>
      </c>
      <c r="K1208" s="8">
        <f t="shared" si="60"/>
        <v>12.663606328705612</v>
      </c>
      <c r="L1208" s="8">
        <f t="shared" si="59"/>
        <v>6.3318031643528059</v>
      </c>
    </row>
    <row r="1209" spans="1:12" x14ac:dyDescent="0.25">
      <c r="A1209" s="1">
        <v>1210</v>
      </c>
      <c r="B1209" s="1">
        <v>303</v>
      </c>
      <c r="C1209" s="3" t="s">
        <v>63</v>
      </c>
      <c r="D1209" s="5" t="s">
        <v>22</v>
      </c>
      <c r="E1209" s="10">
        <v>2.16</v>
      </c>
      <c r="F1209" s="10">
        <v>11.78</v>
      </c>
      <c r="G1209" s="10">
        <v>8</v>
      </c>
      <c r="H1209" s="10">
        <v>1.71</v>
      </c>
      <c r="I1209" s="8">
        <f t="shared" si="58"/>
        <v>2.2965881399999999</v>
      </c>
      <c r="K1209" s="8">
        <f t="shared" si="60"/>
        <v>20.52990944556926</v>
      </c>
      <c r="L1209" s="8">
        <f t="shared" si="59"/>
        <v>10.26495472278463</v>
      </c>
    </row>
    <row r="1210" spans="1:12" x14ac:dyDescent="0.25">
      <c r="A1210" s="1">
        <v>1211</v>
      </c>
      <c r="B1210" s="1">
        <v>304</v>
      </c>
      <c r="C1210" s="3" t="s">
        <v>63</v>
      </c>
      <c r="D1210" s="5" t="s">
        <v>22</v>
      </c>
      <c r="E1210" s="10">
        <v>1.53</v>
      </c>
      <c r="F1210" s="10">
        <v>11.19</v>
      </c>
      <c r="G1210" s="10">
        <v>7.57</v>
      </c>
      <c r="H1210" s="10">
        <v>1.83</v>
      </c>
      <c r="I1210" s="8">
        <f t="shared" si="58"/>
        <v>2.6302260600000005</v>
      </c>
      <c r="K1210" s="8">
        <f t="shared" si="60"/>
        <v>18.317879296341875</v>
      </c>
      <c r="L1210" s="8">
        <f t="shared" si="59"/>
        <v>9.1589396481709375</v>
      </c>
    </row>
    <row r="1211" spans="1:12" x14ac:dyDescent="0.25">
      <c r="A1211" s="1">
        <v>1212</v>
      </c>
      <c r="B1211" s="1">
        <v>305</v>
      </c>
      <c r="C1211" s="3" t="s">
        <v>63</v>
      </c>
      <c r="D1211" s="5" t="s">
        <v>22</v>
      </c>
      <c r="E1211" s="10">
        <v>2.0699999999999998</v>
      </c>
      <c r="F1211" s="10">
        <v>11.49</v>
      </c>
      <c r="G1211" s="10">
        <v>3.21</v>
      </c>
      <c r="H1211" s="10">
        <v>2.0499999999999998</v>
      </c>
      <c r="I1211" s="8">
        <f t="shared" si="58"/>
        <v>3.3006434999999996</v>
      </c>
      <c r="K1211" s="8">
        <f t="shared" si="60"/>
        <v>3.1191336211248299</v>
      </c>
      <c r="L1211" s="8">
        <f t="shared" si="59"/>
        <v>1.559566810562415</v>
      </c>
    </row>
    <row r="1212" spans="1:12" x14ac:dyDescent="0.25">
      <c r="A1212" s="1">
        <v>1213</v>
      </c>
      <c r="B1212" s="1">
        <v>306</v>
      </c>
      <c r="C1212" s="3" t="s">
        <v>63</v>
      </c>
      <c r="D1212" s="5" t="s">
        <v>22</v>
      </c>
      <c r="E1212" s="10">
        <v>1.67</v>
      </c>
      <c r="F1212" s="10">
        <v>11.96</v>
      </c>
      <c r="G1212" s="10">
        <v>7.47</v>
      </c>
      <c r="H1212" s="10">
        <v>1.99</v>
      </c>
      <c r="I1212" s="8">
        <f t="shared" si="58"/>
        <v>3.1102625399999999</v>
      </c>
      <c r="K1212" s="8">
        <f t="shared" si="60"/>
        <v>17.822060246926622</v>
      </c>
      <c r="L1212" s="8">
        <f t="shared" si="59"/>
        <v>8.9110301234633109</v>
      </c>
    </row>
    <row r="1213" spans="1:12" x14ac:dyDescent="0.25">
      <c r="A1213" s="1">
        <v>1214</v>
      </c>
      <c r="B1213" s="1">
        <v>307</v>
      </c>
      <c r="C1213" s="3" t="s">
        <v>63</v>
      </c>
      <c r="D1213" s="5" t="s">
        <v>22</v>
      </c>
      <c r="E1213" s="10">
        <v>2.1800000000000002</v>
      </c>
      <c r="F1213" s="10">
        <v>6.22</v>
      </c>
      <c r="G1213" s="10">
        <v>4.21</v>
      </c>
      <c r="H1213" s="10">
        <v>1.75</v>
      </c>
      <c r="I1213" s="8">
        <f t="shared" si="58"/>
        <v>2.4052875</v>
      </c>
      <c r="K1213" s="8">
        <f t="shared" si="60"/>
        <v>5.4584200101404718</v>
      </c>
      <c r="L1213" s="8">
        <f t="shared" si="59"/>
        <v>2.7292100050702359</v>
      </c>
    </row>
    <row r="1214" spans="1:12" x14ac:dyDescent="0.25">
      <c r="A1214" s="1">
        <v>1215</v>
      </c>
      <c r="B1214" s="1">
        <v>308</v>
      </c>
      <c r="C1214" s="3" t="s">
        <v>63</v>
      </c>
      <c r="D1214" s="5" t="s">
        <v>22</v>
      </c>
      <c r="E1214" s="10">
        <v>2.08</v>
      </c>
      <c r="F1214" s="10">
        <v>7.77</v>
      </c>
      <c r="G1214" s="10">
        <v>8.75</v>
      </c>
      <c r="H1214" s="10">
        <v>1.7</v>
      </c>
      <c r="I1214" s="8">
        <f t="shared" si="58"/>
        <v>2.2698059999999995</v>
      </c>
      <c r="K1214" s="8">
        <f t="shared" si="60"/>
        <v>24.69985837082659</v>
      </c>
      <c r="L1214" s="8">
        <f t="shared" si="59"/>
        <v>12.349929185413295</v>
      </c>
    </row>
    <row r="1215" spans="1:12" x14ac:dyDescent="0.25">
      <c r="A1215" s="1">
        <v>1216</v>
      </c>
      <c r="B1215" s="1">
        <v>309</v>
      </c>
      <c r="C1215" s="3" t="s">
        <v>63</v>
      </c>
      <c r="D1215" s="5" t="s">
        <v>22</v>
      </c>
      <c r="E1215" s="10">
        <v>1.43</v>
      </c>
      <c r="F1215" s="10">
        <v>10.31</v>
      </c>
      <c r="G1215" s="10">
        <v>5.21</v>
      </c>
      <c r="H1215" s="10">
        <v>1.94</v>
      </c>
      <c r="I1215" s="8">
        <f t="shared" si="58"/>
        <v>2.9559314399999996</v>
      </c>
      <c r="K1215" s="8">
        <f t="shared" si="60"/>
        <v>8.4733566706946757</v>
      </c>
      <c r="L1215" s="8">
        <f t="shared" si="59"/>
        <v>4.2366783353473378</v>
      </c>
    </row>
    <row r="1216" spans="1:12" x14ac:dyDescent="0.25">
      <c r="A1216" s="1">
        <v>1217</v>
      </c>
      <c r="B1216" s="1">
        <v>310</v>
      </c>
      <c r="C1216" s="3" t="s">
        <v>63</v>
      </c>
      <c r="D1216" s="5" t="s">
        <v>22</v>
      </c>
      <c r="E1216" s="10">
        <v>2.19</v>
      </c>
      <c r="F1216" s="10">
        <v>9.8699999999999992</v>
      </c>
      <c r="G1216" s="10">
        <v>4.96</v>
      </c>
      <c r="H1216" s="10">
        <v>1.85</v>
      </c>
      <c r="I1216" s="8">
        <f t="shared" si="58"/>
        <v>2.6880315000000001</v>
      </c>
      <c r="K1216" s="8">
        <f t="shared" si="60"/>
        <v>7.6557419266391911</v>
      </c>
      <c r="L1216" s="8">
        <f t="shared" si="59"/>
        <v>3.8278709633195955</v>
      </c>
    </row>
    <row r="1217" spans="1:12" x14ac:dyDescent="0.25">
      <c r="A1217" s="1">
        <v>1218</v>
      </c>
      <c r="B1217" s="1">
        <v>311</v>
      </c>
      <c r="C1217" s="3" t="s">
        <v>63</v>
      </c>
      <c r="D1217" s="5" t="s">
        <v>22</v>
      </c>
      <c r="E1217" s="10">
        <v>1.26</v>
      </c>
      <c r="F1217" s="10">
        <v>6.08</v>
      </c>
      <c r="G1217" s="10">
        <v>3.89</v>
      </c>
      <c r="H1217" s="10">
        <v>1.99</v>
      </c>
      <c r="I1217" s="8">
        <f t="shared" ref="I1217:I1280" si="61">0.7854*H1217^2</f>
        <v>3.1102625399999999</v>
      </c>
      <c r="K1217" s="8">
        <f t="shared" si="60"/>
        <v>4.6368371991385482</v>
      </c>
      <c r="L1217" s="8">
        <f t="shared" ref="L1217:L1280" si="62">K1217*0.5</f>
        <v>2.3184185995692741</v>
      </c>
    </row>
    <row r="1218" spans="1:12" x14ac:dyDescent="0.25">
      <c r="A1218" s="1">
        <v>1219</v>
      </c>
      <c r="B1218" s="1">
        <v>312</v>
      </c>
      <c r="C1218" s="3" t="s">
        <v>63</v>
      </c>
      <c r="D1218" s="5" t="s">
        <v>22</v>
      </c>
      <c r="E1218" s="10">
        <v>1.18</v>
      </c>
      <c r="F1218" s="10">
        <v>10.71</v>
      </c>
      <c r="G1218" s="10">
        <v>4.83</v>
      </c>
      <c r="H1218" s="10">
        <v>2.04</v>
      </c>
      <c r="I1218" s="8">
        <f t="shared" si="61"/>
        <v>3.2685206399999998</v>
      </c>
      <c r="K1218" s="8">
        <f t="shared" si="60"/>
        <v>7.2474587121416629</v>
      </c>
      <c r="L1218" s="8">
        <f t="shared" si="62"/>
        <v>3.6237293560708315</v>
      </c>
    </row>
    <row r="1219" spans="1:12" x14ac:dyDescent="0.25">
      <c r="A1219" s="1">
        <v>1220</v>
      </c>
      <c r="B1219" s="1">
        <v>313</v>
      </c>
      <c r="C1219" s="3" t="s">
        <v>63</v>
      </c>
      <c r="D1219" s="5" t="s">
        <v>22</v>
      </c>
      <c r="E1219" s="10">
        <v>2.14</v>
      </c>
      <c r="F1219" s="10">
        <v>6.57</v>
      </c>
      <c r="G1219" s="10">
        <v>8.26</v>
      </c>
      <c r="H1219" s="10">
        <v>1.87</v>
      </c>
      <c r="I1219" s="8">
        <f t="shared" si="61"/>
        <v>2.7464652600000004</v>
      </c>
      <c r="K1219" s="8">
        <f t="shared" si="60"/>
        <v>21.930532310601713</v>
      </c>
      <c r="L1219" s="8">
        <f t="shared" si="62"/>
        <v>10.965266155300856</v>
      </c>
    </row>
    <row r="1220" spans="1:12" x14ac:dyDescent="0.25">
      <c r="A1220" s="1">
        <v>1221</v>
      </c>
      <c r="B1220" s="1">
        <v>314</v>
      </c>
      <c r="C1220" s="3" t="s">
        <v>63</v>
      </c>
      <c r="D1220" s="5" t="s">
        <v>22</v>
      </c>
      <c r="E1220" s="10">
        <v>1.75</v>
      </c>
      <c r="F1220" s="10">
        <v>6.57</v>
      </c>
      <c r="G1220" s="10">
        <v>8.98</v>
      </c>
      <c r="H1220" s="10">
        <v>1.93</v>
      </c>
      <c r="I1220" s="8">
        <f t="shared" si="61"/>
        <v>2.92553646</v>
      </c>
      <c r="K1220" s="8">
        <f t="shared" si="60"/>
        <v>26.058329200735177</v>
      </c>
      <c r="L1220" s="8">
        <f t="shared" si="62"/>
        <v>13.029164600367588</v>
      </c>
    </row>
    <row r="1221" spans="1:12" x14ac:dyDescent="0.25">
      <c r="A1221" s="1">
        <v>1222</v>
      </c>
      <c r="B1221" s="1">
        <v>315</v>
      </c>
      <c r="C1221" s="3" t="s">
        <v>63</v>
      </c>
      <c r="D1221" s="5" t="s">
        <v>22</v>
      </c>
      <c r="E1221" s="10">
        <v>2.27</v>
      </c>
      <c r="F1221" s="10">
        <v>8.76</v>
      </c>
      <c r="G1221" s="10">
        <v>5.21</v>
      </c>
      <c r="H1221" s="10">
        <v>2.06</v>
      </c>
      <c r="I1221" s="8">
        <f t="shared" si="61"/>
        <v>3.3329234399999996</v>
      </c>
      <c r="K1221" s="8">
        <f t="shared" si="60"/>
        <v>8.4733566706946757</v>
      </c>
      <c r="L1221" s="8">
        <f t="shared" si="62"/>
        <v>4.2366783353473378</v>
      </c>
    </row>
    <row r="1222" spans="1:12" x14ac:dyDescent="0.25">
      <c r="A1222" s="1">
        <v>1223</v>
      </c>
      <c r="B1222" s="1">
        <v>316</v>
      </c>
      <c r="C1222" s="3" t="s">
        <v>63</v>
      </c>
      <c r="D1222" s="5" t="s">
        <v>22</v>
      </c>
      <c r="E1222" s="10">
        <v>1.3</v>
      </c>
      <c r="F1222" s="10">
        <v>9.15</v>
      </c>
      <c r="G1222" s="10">
        <v>5.69</v>
      </c>
      <c r="H1222" s="10">
        <v>2.0099999999999998</v>
      </c>
      <c r="I1222" s="8">
        <f t="shared" si="61"/>
        <v>3.1730945399999992</v>
      </c>
      <c r="K1222" s="8">
        <f t="shared" si="60"/>
        <v>10.163306132545083</v>
      </c>
      <c r="L1222" s="8">
        <f t="shared" si="62"/>
        <v>5.0816530662725414</v>
      </c>
    </row>
    <row r="1223" spans="1:12" x14ac:dyDescent="0.25">
      <c r="A1223" s="1">
        <v>1224</v>
      </c>
      <c r="B1223" s="1">
        <v>317</v>
      </c>
      <c r="C1223" s="3" t="s">
        <v>63</v>
      </c>
      <c r="D1223" s="5" t="s">
        <v>22</v>
      </c>
      <c r="E1223" s="10">
        <v>1.94</v>
      </c>
      <c r="F1223" s="10">
        <v>9.06</v>
      </c>
      <c r="G1223" s="10">
        <v>7.33</v>
      </c>
      <c r="H1223" s="10">
        <v>1.68</v>
      </c>
      <c r="I1223" s="8">
        <f t="shared" si="61"/>
        <v>2.2167129599999997</v>
      </c>
      <c r="K1223" s="8">
        <f t="shared" si="60"/>
        <v>17.139687417540451</v>
      </c>
      <c r="L1223" s="8">
        <f t="shared" si="62"/>
        <v>8.5698437087702253</v>
      </c>
    </row>
    <row r="1224" spans="1:12" x14ac:dyDescent="0.25">
      <c r="A1224" s="1">
        <v>1225</v>
      </c>
      <c r="B1224" s="1">
        <v>318</v>
      </c>
      <c r="C1224" s="3" t="s">
        <v>63</v>
      </c>
      <c r="D1224" s="5" t="s">
        <v>22</v>
      </c>
      <c r="E1224" s="10">
        <v>1.53</v>
      </c>
      <c r="F1224" s="10">
        <v>5.64</v>
      </c>
      <c r="G1224" s="10">
        <v>8.32</v>
      </c>
      <c r="H1224" s="10">
        <v>1.87</v>
      </c>
      <c r="I1224" s="8">
        <f t="shared" si="61"/>
        <v>2.7464652600000004</v>
      </c>
      <c r="K1224" s="8">
        <f t="shared" si="60"/>
        <v>22.260521244728711</v>
      </c>
      <c r="L1224" s="8">
        <f t="shared" si="62"/>
        <v>11.130260622364355</v>
      </c>
    </row>
    <row r="1225" spans="1:12" x14ac:dyDescent="0.25">
      <c r="A1225" s="1">
        <v>1226</v>
      </c>
      <c r="B1225" s="1">
        <v>319</v>
      </c>
      <c r="C1225" s="3" t="s">
        <v>63</v>
      </c>
      <c r="D1225" s="5" t="s">
        <v>22</v>
      </c>
      <c r="E1225" s="10">
        <v>1.65</v>
      </c>
      <c r="F1225" s="10">
        <v>11.14</v>
      </c>
      <c r="G1225" s="10">
        <v>6.56</v>
      </c>
      <c r="H1225" s="10">
        <v>1.74</v>
      </c>
      <c r="I1225" s="8">
        <f t="shared" si="61"/>
        <v>2.37787704</v>
      </c>
      <c r="K1225" s="8">
        <f t="shared" si="60"/>
        <v>13.631445707472789</v>
      </c>
      <c r="L1225" s="8">
        <f t="shared" si="62"/>
        <v>6.8157228537363945</v>
      </c>
    </row>
    <row r="1226" spans="1:12" x14ac:dyDescent="0.25">
      <c r="A1226" s="1">
        <v>1227</v>
      </c>
      <c r="B1226" s="1">
        <v>320</v>
      </c>
      <c r="C1226" s="3" t="s">
        <v>63</v>
      </c>
      <c r="D1226" s="5" t="s">
        <v>22</v>
      </c>
      <c r="E1226" s="10">
        <v>1.1200000000000001</v>
      </c>
      <c r="F1226" s="10">
        <v>6.86</v>
      </c>
      <c r="G1226" s="10">
        <v>5.35</v>
      </c>
      <c r="H1226" s="10">
        <v>2.0499999999999998</v>
      </c>
      <c r="I1226" s="8">
        <f t="shared" si="61"/>
        <v>3.3006434999999996</v>
      </c>
      <c r="K1226" s="8">
        <f t="shared" si="60"/>
        <v>8.9499142601004511</v>
      </c>
      <c r="L1226" s="8">
        <f t="shared" si="62"/>
        <v>4.4749571300502256</v>
      </c>
    </row>
    <row r="1227" spans="1:12" x14ac:dyDescent="0.25">
      <c r="A1227" s="1">
        <v>1228</v>
      </c>
      <c r="B1227" s="1">
        <v>321</v>
      </c>
      <c r="C1227" s="3" t="s">
        <v>63</v>
      </c>
      <c r="D1227" s="5" t="s">
        <v>22</v>
      </c>
      <c r="E1227" s="10">
        <v>1.64</v>
      </c>
      <c r="F1227" s="10">
        <v>5.91</v>
      </c>
      <c r="G1227" s="10">
        <v>5.48</v>
      </c>
      <c r="H1227" s="10">
        <v>2.0699999999999998</v>
      </c>
      <c r="I1227" s="8">
        <f t="shared" si="61"/>
        <v>3.3653604599999993</v>
      </c>
      <c r="K1227" s="8">
        <f t="shared" si="60"/>
        <v>9.4044743881245711</v>
      </c>
      <c r="L1227" s="8">
        <f t="shared" si="62"/>
        <v>4.7022371940622856</v>
      </c>
    </row>
    <row r="1228" spans="1:12" x14ac:dyDescent="0.25">
      <c r="A1228" s="1">
        <v>1229</v>
      </c>
      <c r="B1228" s="1">
        <v>322</v>
      </c>
      <c r="C1228" s="3" t="s">
        <v>63</v>
      </c>
      <c r="D1228" s="5" t="s">
        <v>22</v>
      </c>
      <c r="E1228" s="10">
        <v>2.35</v>
      </c>
      <c r="F1228" s="10">
        <v>11.22</v>
      </c>
      <c r="G1228" s="10">
        <v>7.17</v>
      </c>
      <c r="H1228" s="10">
        <v>1.9</v>
      </c>
      <c r="I1228" s="8">
        <f t="shared" si="61"/>
        <v>2.8352939999999998</v>
      </c>
      <c r="K1228" s="8">
        <f t="shared" ref="K1228:K1291" si="63">0.2811*G1228^2.0635</f>
        <v>16.376633253531743</v>
      </c>
      <c r="L1228" s="8">
        <f t="shared" si="62"/>
        <v>8.1883166267658716</v>
      </c>
    </row>
    <row r="1229" spans="1:12" x14ac:dyDescent="0.25">
      <c r="A1229" s="1">
        <v>1230</v>
      </c>
      <c r="B1229" s="1">
        <v>323</v>
      </c>
      <c r="C1229" s="3" t="s">
        <v>63</v>
      </c>
      <c r="D1229" s="5" t="s">
        <v>22</v>
      </c>
      <c r="E1229" s="10">
        <v>1.96</v>
      </c>
      <c r="F1229" s="10">
        <v>11.69</v>
      </c>
      <c r="G1229" s="10">
        <v>3.02</v>
      </c>
      <c r="H1229" s="10">
        <v>1.78</v>
      </c>
      <c r="I1229" s="8">
        <f t="shared" si="61"/>
        <v>2.4884613600000001</v>
      </c>
      <c r="K1229" s="8">
        <f t="shared" si="63"/>
        <v>2.7501423404344911</v>
      </c>
      <c r="L1229" s="8">
        <f t="shared" si="62"/>
        <v>1.3750711702172456</v>
      </c>
    </row>
    <row r="1230" spans="1:12" x14ac:dyDescent="0.25">
      <c r="A1230" s="1">
        <v>1231</v>
      </c>
      <c r="B1230" s="1">
        <v>324</v>
      </c>
      <c r="C1230" s="3" t="s">
        <v>63</v>
      </c>
      <c r="D1230" s="5" t="s">
        <v>22</v>
      </c>
      <c r="E1230" s="10">
        <v>1.44</v>
      </c>
      <c r="F1230" s="10">
        <v>11.03</v>
      </c>
      <c r="G1230" s="10">
        <v>6.72</v>
      </c>
      <c r="H1230" s="10">
        <v>1.71</v>
      </c>
      <c r="I1230" s="8">
        <f t="shared" si="61"/>
        <v>2.2965881399999999</v>
      </c>
      <c r="K1230" s="8">
        <f t="shared" si="63"/>
        <v>14.326408835794631</v>
      </c>
      <c r="L1230" s="8">
        <f t="shared" si="62"/>
        <v>7.1632044178973153</v>
      </c>
    </row>
    <row r="1231" spans="1:12" x14ac:dyDescent="0.25">
      <c r="A1231" s="1">
        <v>1232</v>
      </c>
      <c r="B1231" s="1">
        <v>325</v>
      </c>
      <c r="C1231" s="3" t="s">
        <v>63</v>
      </c>
      <c r="D1231" s="5" t="s">
        <v>22</v>
      </c>
      <c r="E1231" s="10">
        <v>1.87</v>
      </c>
      <c r="F1231" s="10">
        <v>10.67</v>
      </c>
      <c r="G1231" s="10">
        <v>5.13</v>
      </c>
      <c r="H1231" s="10">
        <v>2.02</v>
      </c>
      <c r="I1231" s="8">
        <f t="shared" si="61"/>
        <v>3.20474616</v>
      </c>
      <c r="K1231" s="8">
        <f t="shared" si="63"/>
        <v>8.2070679378783336</v>
      </c>
      <c r="L1231" s="8">
        <f t="shared" si="62"/>
        <v>4.1035339689391668</v>
      </c>
    </row>
    <row r="1232" spans="1:12" x14ac:dyDescent="0.25">
      <c r="A1232" s="1">
        <v>1233</v>
      </c>
      <c r="B1232" s="1">
        <v>326</v>
      </c>
      <c r="C1232" s="3" t="s">
        <v>63</v>
      </c>
      <c r="D1232" s="5" t="s">
        <v>22</v>
      </c>
      <c r="E1232" s="10">
        <v>2.2200000000000002</v>
      </c>
      <c r="F1232" s="10">
        <v>9.59</v>
      </c>
      <c r="G1232" s="10">
        <v>7.77</v>
      </c>
      <c r="H1232" s="10">
        <v>2.06</v>
      </c>
      <c r="I1232" s="8">
        <f t="shared" si="61"/>
        <v>3.3329234399999996</v>
      </c>
      <c r="K1232" s="8">
        <f t="shared" si="63"/>
        <v>19.330568115256945</v>
      </c>
      <c r="L1232" s="8">
        <f t="shared" si="62"/>
        <v>9.6652840576284724</v>
      </c>
    </row>
    <row r="1233" spans="1:12" x14ac:dyDescent="0.25">
      <c r="A1233" s="1">
        <v>1234</v>
      </c>
      <c r="B1233" s="1">
        <v>327</v>
      </c>
      <c r="C1233" s="3" t="s">
        <v>63</v>
      </c>
      <c r="D1233" s="5" t="s">
        <v>22</v>
      </c>
      <c r="E1233" s="10">
        <v>1.94</v>
      </c>
      <c r="F1233" s="10">
        <v>8.86</v>
      </c>
      <c r="G1233" s="10">
        <v>3.56</v>
      </c>
      <c r="H1233" s="10">
        <v>1.94</v>
      </c>
      <c r="I1233" s="8">
        <f t="shared" si="61"/>
        <v>2.9559314399999996</v>
      </c>
      <c r="K1233" s="8">
        <f t="shared" si="63"/>
        <v>3.8616945249882639</v>
      </c>
      <c r="L1233" s="8">
        <f t="shared" si="62"/>
        <v>1.930847262494132</v>
      </c>
    </row>
    <row r="1234" spans="1:12" x14ac:dyDescent="0.25">
      <c r="A1234" s="1">
        <v>1235</v>
      </c>
      <c r="B1234" s="1">
        <v>328</v>
      </c>
      <c r="C1234" s="3" t="s">
        <v>63</v>
      </c>
      <c r="D1234" s="5" t="s">
        <v>22</v>
      </c>
      <c r="E1234" s="10">
        <v>1.93</v>
      </c>
      <c r="F1234" s="10">
        <v>5.61</v>
      </c>
      <c r="G1234" s="10">
        <v>6.53</v>
      </c>
      <c r="H1234" s="10">
        <v>1.69</v>
      </c>
      <c r="I1234" s="8">
        <f t="shared" si="61"/>
        <v>2.2431809399999998</v>
      </c>
      <c r="K1234" s="8">
        <f t="shared" si="63"/>
        <v>13.503122113946032</v>
      </c>
      <c r="L1234" s="8">
        <f t="shared" si="62"/>
        <v>6.7515610569730162</v>
      </c>
    </row>
    <row r="1235" spans="1:12" x14ac:dyDescent="0.25">
      <c r="A1235" s="1">
        <v>1236</v>
      </c>
      <c r="B1235" s="1">
        <v>329</v>
      </c>
      <c r="C1235" s="3" t="s">
        <v>63</v>
      </c>
      <c r="D1235" s="5" t="s">
        <v>22</v>
      </c>
      <c r="E1235" s="10">
        <v>1.44</v>
      </c>
      <c r="F1235" s="10">
        <v>7.86</v>
      </c>
      <c r="G1235" s="10">
        <v>5.89</v>
      </c>
      <c r="H1235" s="10">
        <v>2.04</v>
      </c>
      <c r="I1235" s="8">
        <f t="shared" si="61"/>
        <v>3.2685206399999998</v>
      </c>
      <c r="K1235" s="8">
        <f t="shared" si="63"/>
        <v>10.914246455581218</v>
      </c>
      <c r="L1235" s="8">
        <f t="shared" si="62"/>
        <v>5.4571232277906088</v>
      </c>
    </row>
    <row r="1236" spans="1:12" x14ac:dyDescent="0.25">
      <c r="A1236" s="1">
        <v>1237</v>
      </c>
      <c r="B1236" s="1">
        <v>330</v>
      </c>
      <c r="C1236" s="3" t="s">
        <v>63</v>
      </c>
      <c r="D1236" s="5" t="s">
        <v>22</v>
      </c>
      <c r="E1236" s="10">
        <v>1.55</v>
      </c>
      <c r="F1236" s="10">
        <v>7.61</v>
      </c>
      <c r="G1236" s="10">
        <v>6.85</v>
      </c>
      <c r="H1236" s="10">
        <v>1.91</v>
      </c>
      <c r="I1236" s="8">
        <f t="shared" si="61"/>
        <v>2.8652177399999998</v>
      </c>
      <c r="K1236" s="8">
        <f t="shared" si="63"/>
        <v>14.904188679853876</v>
      </c>
      <c r="L1236" s="8">
        <f t="shared" si="62"/>
        <v>7.4520943399269379</v>
      </c>
    </row>
    <row r="1237" spans="1:12" x14ac:dyDescent="0.25">
      <c r="A1237" s="1">
        <v>1238</v>
      </c>
      <c r="B1237" s="1">
        <v>331</v>
      </c>
      <c r="C1237" s="3" t="s">
        <v>63</v>
      </c>
      <c r="D1237" s="5" t="s">
        <v>22</v>
      </c>
      <c r="E1237" s="10">
        <v>1.24</v>
      </c>
      <c r="F1237" s="10">
        <v>6.82</v>
      </c>
      <c r="G1237" s="10">
        <v>3.39</v>
      </c>
      <c r="H1237" s="10">
        <v>1.8</v>
      </c>
      <c r="I1237" s="8">
        <f t="shared" si="61"/>
        <v>2.5446960000000001</v>
      </c>
      <c r="K1237" s="8">
        <f t="shared" si="63"/>
        <v>3.4908237564286249</v>
      </c>
      <c r="L1237" s="8">
        <f t="shared" si="62"/>
        <v>1.7454118782143124</v>
      </c>
    </row>
    <row r="1238" spans="1:12" x14ac:dyDescent="0.25">
      <c r="A1238" s="1">
        <v>1239</v>
      </c>
      <c r="B1238" s="1">
        <v>332</v>
      </c>
      <c r="C1238" s="3" t="s">
        <v>63</v>
      </c>
      <c r="D1238" s="5" t="s">
        <v>22</v>
      </c>
      <c r="E1238" s="10">
        <v>1.28</v>
      </c>
      <c r="F1238" s="10">
        <v>10.06</v>
      </c>
      <c r="G1238" s="10">
        <v>6.48</v>
      </c>
      <c r="H1238" s="10">
        <v>1.89</v>
      </c>
      <c r="I1238" s="8">
        <f t="shared" si="61"/>
        <v>2.8055273399999998</v>
      </c>
      <c r="K1238" s="8">
        <f t="shared" si="63"/>
        <v>13.290639255624786</v>
      </c>
      <c r="L1238" s="8">
        <f t="shared" si="62"/>
        <v>6.6453196278123929</v>
      </c>
    </row>
    <row r="1239" spans="1:12" x14ac:dyDescent="0.25">
      <c r="A1239" s="1">
        <v>1240</v>
      </c>
      <c r="B1239" s="1">
        <v>333</v>
      </c>
      <c r="C1239" s="3" t="s">
        <v>63</v>
      </c>
      <c r="D1239" s="5" t="s">
        <v>22</v>
      </c>
      <c r="E1239" s="10">
        <v>1.8</v>
      </c>
      <c r="F1239" s="10">
        <v>8.4700000000000006</v>
      </c>
      <c r="G1239" s="10">
        <v>6.37</v>
      </c>
      <c r="H1239" s="10">
        <v>1.8</v>
      </c>
      <c r="I1239" s="8">
        <f t="shared" si="61"/>
        <v>2.5446960000000001</v>
      </c>
      <c r="K1239" s="8">
        <f t="shared" si="63"/>
        <v>12.829288285620837</v>
      </c>
      <c r="L1239" s="8">
        <f t="shared" si="62"/>
        <v>6.4146441428104186</v>
      </c>
    </row>
    <row r="1240" spans="1:12" x14ac:dyDescent="0.25">
      <c r="A1240" s="1">
        <v>1241</v>
      </c>
      <c r="B1240" s="1">
        <v>334</v>
      </c>
      <c r="C1240" s="3" t="s">
        <v>63</v>
      </c>
      <c r="D1240" s="5" t="s">
        <v>22</v>
      </c>
      <c r="E1240" s="10">
        <v>1.96</v>
      </c>
      <c r="F1240" s="10">
        <v>5.57</v>
      </c>
      <c r="G1240" s="10">
        <v>6.36</v>
      </c>
      <c r="H1240" s="10">
        <v>1.69</v>
      </c>
      <c r="I1240" s="8">
        <f t="shared" si="61"/>
        <v>2.2431809399999998</v>
      </c>
      <c r="K1240" s="8">
        <f t="shared" si="63"/>
        <v>12.787763736192748</v>
      </c>
      <c r="L1240" s="8">
        <f t="shared" si="62"/>
        <v>6.3938818680963738</v>
      </c>
    </row>
    <row r="1241" spans="1:12" x14ac:dyDescent="0.25">
      <c r="A1241" s="1">
        <v>1242</v>
      </c>
      <c r="B1241" s="1">
        <v>335</v>
      </c>
      <c r="C1241" s="3" t="s">
        <v>63</v>
      </c>
      <c r="D1241" s="5" t="s">
        <v>22</v>
      </c>
      <c r="E1241" s="10">
        <v>1.1599999999999999</v>
      </c>
      <c r="F1241" s="10">
        <v>6.54</v>
      </c>
      <c r="G1241" s="10">
        <v>6.62</v>
      </c>
      <c r="H1241" s="10">
        <v>1.84</v>
      </c>
      <c r="I1241" s="8">
        <f t="shared" si="61"/>
        <v>2.65905024</v>
      </c>
      <c r="K1241" s="8">
        <f t="shared" si="63"/>
        <v>13.88996997059817</v>
      </c>
      <c r="L1241" s="8">
        <f t="shared" si="62"/>
        <v>6.9449849852990848</v>
      </c>
    </row>
    <row r="1242" spans="1:12" x14ac:dyDescent="0.25">
      <c r="A1242" s="1">
        <v>1243</v>
      </c>
      <c r="B1242" s="1">
        <v>336</v>
      </c>
      <c r="C1242" s="3" t="s">
        <v>63</v>
      </c>
      <c r="D1242" s="5" t="s">
        <v>22</v>
      </c>
      <c r="E1242" s="10">
        <v>1.76</v>
      </c>
      <c r="F1242" s="10">
        <v>9.7799999999999994</v>
      </c>
      <c r="G1242" s="10">
        <v>7.06</v>
      </c>
      <c r="H1242" s="10">
        <v>1.75</v>
      </c>
      <c r="I1242" s="8">
        <f t="shared" si="61"/>
        <v>2.4052875</v>
      </c>
      <c r="K1242" s="8">
        <f t="shared" si="63"/>
        <v>15.862416399622118</v>
      </c>
      <c r="L1242" s="8">
        <f t="shared" si="62"/>
        <v>7.9312081998110591</v>
      </c>
    </row>
    <row r="1243" spans="1:12" x14ac:dyDescent="0.25">
      <c r="A1243" s="1">
        <v>1244</v>
      </c>
      <c r="B1243" s="1">
        <v>337</v>
      </c>
      <c r="C1243" s="3" t="s">
        <v>63</v>
      </c>
      <c r="D1243" s="5" t="s">
        <v>22</v>
      </c>
      <c r="E1243" s="10">
        <v>1.34</v>
      </c>
      <c r="F1243" s="10">
        <v>5.53</v>
      </c>
      <c r="G1243" s="10">
        <v>7.83</v>
      </c>
      <c r="H1243" s="10">
        <v>1.77</v>
      </c>
      <c r="I1243" s="8">
        <f t="shared" si="61"/>
        <v>2.4605796600000001</v>
      </c>
      <c r="K1243" s="8">
        <f t="shared" si="63"/>
        <v>19.639853395697621</v>
      </c>
      <c r="L1243" s="8">
        <f t="shared" si="62"/>
        <v>9.8199266978488104</v>
      </c>
    </row>
    <row r="1244" spans="1:12" x14ac:dyDescent="0.25">
      <c r="A1244" s="1">
        <v>1245</v>
      </c>
      <c r="B1244" s="1">
        <v>338</v>
      </c>
      <c r="C1244" s="3" t="s">
        <v>63</v>
      </c>
      <c r="D1244" s="5" t="s">
        <v>22</v>
      </c>
      <c r="E1244" s="10">
        <v>1.67</v>
      </c>
      <c r="F1244" s="10">
        <v>10.96</v>
      </c>
      <c r="G1244" s="10">
        <v>4.62</v>
      </c>
      <c r="H1244" s="10">
        <v>2.08</v>
      </c>
      <c r="I1244" s="8">
        <f t="shared" si="61"/>
        <v>3.3979545600000005</v>
      </c>
      <c r="K1244" s="8">
        <f t="shared" si="63"/>
        <v>6.612254520167034</v>
      </c>
      <c r="L1244" s="8">
        <f t="shared" si="62"/>
        <v>3.306127260083517</v>
      </c>
    </row>
    <row r="1245" spans="1:12" x14ac:dyDescent="0.25">
      <c r="A1245" s="1">
        <v>1246</v>
      </c>
      <c r="B1245" s="1">
        <v>339</v>
      </c>
      <c r="C1245" s="3" t="s">
        <v>63</v>
      </c>
      <c r="D1245" s="5" t="s">
        <v>22</v>
      </c>
      <c r="E1245" s="10">
        <v>1.23</v>
      </c>
      <c r="F1245" s="10">
        <v>8.4700000000000006</v>
      </c>
      <c r="G1245" s="10">
        <v>7.95</v>
      </c>
      <c r="H1245" s="10">
        <v>1.9</v>
      </c>
      <c r="I1245" s="8">
        <f t="shared" si="61"/>
        <v>2.8352939999999998</v>
      </c>
      <c r="K1245" s="8">
        <f t="shared" si="63"/>
        <v>20.266017605223933</v>
      </c>
      <c r="L1245" s="8">
        <f t="shared" si="62"/>
        <v>10.133008802611966</v>
      </c>
    </row>
    <row r="1246" spans="1:12" x14ac:dyDescent="0.25">
      <c r="A1246" s="1">
        <v>1247</v>
      </c>
      <c r="B1246" s="1">
        <v>340</v>
      </c>
      <c r="C1246" s="3" t="s">
        <v>63</v>
      </c>
      <c r="D1246" s="5" t="s">
        <v>22</v>
      </c>
      <c r="E1246" s="10">
        <v>1.73</v>
      </c>
      <c r="F1246" s="10">
        <v>8.36</v>
      </c>
      <c r="G1246" s="10">
        <v>5.99</v>
      </c>
      <c r="H1246" s="10">
        <v>1.75</v>
      </c>
      <c r="I1246" s="8">
        <f t="shared" si="61"/>
        <v>2.4052875</v>
      </c>
      <c r="K1246" s="8">
        <f t="shared" si="63"/>
        <v>11.300068954356874</v>
      </c>
      <c r="L1246" s="8">
        <f t="shared" si="62"/>
        <v>5.650034477178437</v>
      </c>
    </row>
    <row r="1247" spans="1:12" x14ac:dyDescent="0.25">
      <c r="A1247" s="1">
        <v>1248</v>
      </c>
      <c r="B1247" s="1">
        <v>341</v>
      </c>
      <c r="C1247" s="3" t="s">
        <v>63</v>
      </c>
      <c r="D1247" s="5" t="s">
        <v>22</v>
      </c>
      <c r="E1247" s="10">
        <v>1.99</v>
      </c>
      <c r="F1247" s="10">
        <v>9.15</v>
      </c>
      <c r="G1247" s="10">
        <v>3.46</v>
      </c>
      <c r="H1247" s="10">
        <v>1.81</v>
      </c>
      <c r="I1247" s="8">
        <f t="shared" si="61"/>
        <v>2.5730489400000001</v>
      </c>
      <c r="K1247" s="8">
        <f t="shared" si="63"/>
        <v>3.64119867033064</v>
      </c>
      <c r="L1247" s="8">
        <f t="shared" si="62"/>
        <v>1.82059933516532</v>
      </c>
    </row>
    <row r="1248" spans="1:12" x14ac:dyDescent="0.25">
      <c r="A1248" s="1">
        <v>1249</v>
      </c>
      <c r="B1248" s="1">
        <v>342</v>
      </c>
      <c r="C1248" s="3" t="s">
        <v>63</v>
      </c>
      <c r="D1248" s="5" t="s">
        <v>22</v>
      </c>
      <c r="E1248" s="10">
        <v>1.21</v>
      </c>
      <c r="F1248" s="10">
        <v>10.77</v>
      </c>
      <c r="G1248" s="10">
        <v>3.35</v>
      </c>
      <c r="H1248" s="10">
        <v>1.68</v>
      </c>
      <c r="I1248" s="8">
        <f t="shared" si="61"/>
        <v>2.2167129599999997</v>
      </c>
      <c r="K1248" s="8">
        <f t="shared" si="63"/>
        <v>3.4063620440856299</v>
      </c>
      <c r="L1248" s="8">
        <f t="shared" si="62"/>
        <v>1.703181022042815</v>
      </c>
    </row>
    <row r="1249" spans="1:12" x14ac:dyDescent="0.25">
      <c r="A1249" s="1">
        <v>1250</v>
      </c>
      <c r="B1249" s="1">
        <v>343</v>
      </c>
      <c r="C1249" s="3" t="s">
        <v>63</v>
      </c>
      <c r="D1249" s="5" t="s">
        <v>22</v>
      </c>
      <c r="E1249" s="10">
        <v>2.0299999999999998</v>
      </c>
      <c r="F1249" s="10">
        <v>7.43</v>
      </c>
      <c r="G1249" s="10">
        <v>5.01</v>
      </c>
      <c r="H1249" s="10">
        <v>1.88</v>
      </c>
      <c r="I1249" s="8">
        <f t="shared" si="61"/>
        <v>2.7759177599999996</v>
      </c>
      <c r="K1249" s="8">
        <f t="shared" si="63"/>
        <v>7.8158459871753543</v>
      </c>
      <c r="L1249" s="8">
        <f t="shared" si="62"/>
        <v>3.9079229935876771</v>
      </c>
    </row>
    <row r="1250" spans="1:12" x14ac:dyDescent="0.25">
      <c r="A1250" s="1">
        <v>1251</v>
      </c>
      <c r="B1250" s="1">
        <v>344</v>
      </c>
      <c r="C1250" s="3" t="s">
        <v>63</v>
      </c>
      <c r="D1250" s="5" t="s">
        <v>22</v>
      </c>
      <c r="E1250" s="10">
        <v>1.41</v>
      </c>
      <c r="F1250" s="10">
        <v>9.75</v>
      </c>
      <c r="G1250" s="10">
        <v>7.71</v>
      </c>
      <c r="H1250" s="10">
        <v>1.84</v>
      </c>
      <c r="I1250" s="8">
        <f t="shared" si="61"/>
        <v>2.65905024</v>
      </c>
      <c r="K1250" s="8">
        <f t="shared" si="63"/>
        <v>19.023812406087085</v>
      </c>
      <c r="L1250" s="8">
        <f t="shared" si="62"/>
        <v>9.5119062030435426</v>
      </c>
    </row>
    <row r="1251" spans="1:12" x14ac:dyDescent="0.25">
      <c r="A1251" s="1">
        <v>1252</v>
      </c>
      <c r="B1251" s="1">
        <v>345</v>
      </c>
      <c r="C1251" s="3" t="s">
        <v>63</v>
      </c>
      <c r="D1251" s="5" t="s">
        <v>22</v>
      </c>
      <c r="E1251" s="10">
        <v>2.35</v>
      </c>
      <c r="F1251" s="10">
        <v>8.9600000000000009</v>
      </c>
      <c r="G1251" s="10">
        <v>7.25</v>
      </c>
      <c r="H1251" s="10">
        <v>2.0099999999999998</v>
      </c>
      <c r="I1251" s="8">
        <f t="shared" si="61"/>
        <v>3.1730945399999992</v>
      </c>
      <c r="K1251" s="8">
        <f t="shared" si="63"/>
        <v>16.755921696910974</v>
      </c>
      <c r="L1251" s="8">
        <f t="shared" si="62"/>
        <v>8.3779608484554871</v>
      </c>
    </row>
    <row r="1252" spans="1:12" x14ac:dyDescent="0.25">
      <c r="A1252" s="1">
        <v>1253</v>
      </c>
      <c r="B1252" s="1">
        <v>346</v>
      </c>
      <c r="C1252" s="3" t="s">
        <v>63</v>
      </c>
      <c r="D1252" s="5" t="s">
        <v>22</v>
      </c>
      <c r="E1252" s="10">
        <v>1.36</v>
      </c>
      <c r="F1252" s="10">
        <v>6.87</v>
      </c>
      <c r="G1252" s="10">
        <v>7.73</v>
      </c>
      <c r="H1252" s="10">
        <v>1.86</v>
      </c>
      <c r="I1252" s="8">
        <f t="shared" si="61"/>
        <v>2.7171698400000004</v>
      </c>
      <c r="K1252" s="8">
        <f t="shared" si="63"/>
        <v>19.125783322328058</v>
      </c>
      <c r="L1252" s="8">
        <f t="shared" si="62"/>
        <v>9.5628916611640289</v>
      </c>
    </row>
    <row r="1253" spans="1:12" x14ac:dyDescent="0.25">
      <c r="A1253" s="1">
        <v>1254</v>
      </c>
      <c r="B1253" s="1">
        <v>347</v>
      </c>
      <c r="C1253" s="3" t="s">
        <v>63</v>
      </c>
      <c r="D1253" s="5" t="s">
        <v>22</v>
      </c>
      <c r="E1253" s="10">
        <v>1.66</v>
      </c>
      <c r="F1253" s="10">
        <v>11.15</v>
      </c>
      <c r="G1253" s="10">
        <v>6.1</v>
      </c>
      <c r="H1253" s="10">
        <v>1.75</v>
      </c>
      <c r="I1253" s="8">
        <f t="shared" si="61"/>
        <v>2.4052875</v>
      </c>
      <c r="K1253" s="8">
        <f t="shared" si="63"/>
        <v>11.732456702137226</v>
      </c>
      <c r="L1253" s="8">
        <f t="shared" si="62"/>
        <v>5.8662283510686128</v>
      </c>
    </row>
    <row r="1254" spans="1:12" x14ac:dyDescent="0.25">
      <c r="A1254" s="1">
        <v>1255</v>
      </c>
      <c r="B1254" s="1">
        <v>348</v>
      </c>
      <c r="C1254" s="3" t="s">
        <v>63</v>
      </c>
      <c r="D1254" s="5" t="s">
        <v>22</v>
      </c>
      <c r="E1254" s="10">
        <v>1.71</v>
      </c>
      <c r="F1254" s="10">
        <v>10.58</v>
      </c>
      <c r="G1254" s="10">
        <v>5.64</v>
      </c>
      <c r="H1254" s="10">
        <v>1.75</v>
      </c>
      <c r="I1254" s="8">
        <f t="shared" si="61"/>
        <v>2.4052875</v>
      </c>
      <c r="K1254" s="8">
        <f t="shared" si="63"/>
        <v>9.9798790210454715</v>
      </c>
      <c r="L1254" s="8">
        <f t="shared" si="62"/>
        <v>4.9899395105227358</v>
      </c>
    </row>
    <row r="1255" spans="1:12" x14ac:dyDescent="0.25">
      <c r="A1255" s="1">
        <v>1256</v>
      </c>
      <c r="B1255" s="1">
        <v>349</v>
      </c>
      <c r="C1255" s="3" t="s">
        <v>63</v>
      </c>
      <c r="D1255" s="5" t="s">
        <v>22</v>
      </c>
      <c r="E1255" s="10">
        <v>1.84</v>
      </c>
      <c r="F1255" s="10">
        <v>9.61</v>
      </c>
      <c r="G1255" s="10">
        <v>3.88</v>
      </c>
      <c r="H1255" s="10">
        <v>1.73</v>
      </c>
      <c r="I1255" s="8">
        <f t="shared" si="61"/>
        <v>2.3506236600000001</v>
      </c>
      <c r="K1255" s="8">
        <f t="shared" si="63"/>
        <v>4.6122741272078143</v>
      </c>
      <c r="L1255" s="8">
        <f t="shared" si="62"/>
        <v>2.3061370636039071</v>
      </c>
    </row>
    <row r="1256" spans="1:12" x14ac:dyDescent="0.25">
      <c r="A1256" s="1">
        <v>1257</v>
      </c>
      <c r="B1256" s="1">
        <v>350</v>
      </c>
      <c r="C1256" s="3" t="s">
        <v>63</v>
      </c>
      <c r="D1256" s="5" t="s">
        <v>22</v>
      </c>
      <c r="E1256" s="10">
        <v>1.23</v>
      </c>
      <c r="F1256" s="10">
        <v>10.95</v>
      </c>
      <c r="G1256" s="10">
        <v>4.97</v>
      </c>
      <c r="H1256" s="10">
        <v>1.74</v>
      </c>
      <c r="I1256" s="8">
        <f t="shared" si="61"/>
        <v>2.37787704</v>
      </c>
      <c r="K1256" s="8">
        <f t="shared" si="63"/>
        <v>7.68762612109622</v>
      </c>
      <c r="L1256" s="8">
        <f t="shared" si="62"/>
        <v>3.84381306054811</v>
      </c>
    </row>
    <row r="1257" spans="1:12" x14ac:dyDescent="0.25">
      <c r="A1257" s="1">
        <v>1258</v>
      </c>
      <c r="B1257" s="1">
        <v>351</v>
      </c>
      <c r="C1257" s="3" t="s">
        <v>63</v>
      </c>
      <c r="D1257" s="5" t="s">
        <v>22</v>
      </c>
      <c r="E1257" s="10">
        <v>2.2400000000000002</v>
      </c>
      <c r="F1257" s="10">
        <v>11.07</v>
      </c>
      <c r="G1257" s="10">
        <v>5.6</v>
      </c>
      <c r="H1257" s="10">
        <v>1.69</v>
      </c>
      <c r="I1257" s="8">
        <f t="shared" si="61"/>
        <v>2.2431809399999998</v>
      </c>
      <c r="K1257" s="8">
        <f t="shared" si="63"/>
        <v>9.8343766924811504</v>
      </c>
      <c r="L1257" s="8">
        <f t="shared" si="62"/>
        <v>4.9171883462405752</v>
      </c>
    </row>
    <row r="1258" spans="1:12" x14ac:dyDescent="0.25">
      <c r="A1258" s="1">
        <v>1259</v>
      </c>
      <c r="B1258" s="1">
        <v>352</v>
      </c>
      <c r="C1258" s="3" t="s">
        <v>63</v>
      </c>
      <c r="D1258" s="5" t="s">
        <v>22</v>
      </c>
      <c r="E1258" s="10">
        <v>1.69</v>
      </c>
      <c r="F1258" s="10">
        <v>9.9600000000000009</v>
      </c>
      <c r="G1258" s="10">
        <v>3.53</v>
      </c>
      <c r="H1258" s="10">
        <v>2.09</v>
      </c>
      <c r="I1258" s="8">
        <f t="shared" si="61"/>
        <v>3.4307057399999992</v>
      </c>
      <c r="K1258" s="8">
        <f t="shared" si="63"/>
        <v>3.7948441986314729</v>
      </c>
      <c r="L1258" s="8">
        <f t="shared" si="62"/>
        <v>1.8974220993157365</v>
      </c>
    </row>
    <row r="1259" spans="1:12" x14ac:dyDescent="0.25">
      <c r="A1259" s="1">
        <v>1260</v>
      </c>
      <c r="B1259" s="1">
        <v>353</v>
      </c>
      <c r="C1259" s="3" t="s">
        <v>63</v>
      </c>
      <c r="D1259" s="5" t="s">
        <v>22</v>
      </c>
      <c r="E1259" s="10">
        <v>1.41</v>
      </c>
      <c r="F1259" s="10">
        <v>10.86</v>
      </c>
      <c r="G1259" s="10">
        <v>4.32</v>
      </c>
      <c r="H1259" s="10">
        <v>1.81</v>
      </c>
      <c r="I1259" s="8">
        <f t="shared" si="61"/>
        <v>2.5730489400000001</v>
      </c>
      <c r="K1259" s="8">
        <f t="shared" si="63"/>
        <v>5.7568055075997844</v>
      </c>
      <c r="L1259" s="8">
        <f t="shared" si="62"/>
        <v>2.8784027537998922</v>
      </c>
    </row>
    <row r="1260" spans="1:12" x14ac:dyDescent="0.25">
      <c r="A1260" s="1">
        <v>1261</v>
      </c>
      <c r="B1260" s="1">
        <v>354</v>
      </c>
      <c r="C1260" s="3" t="s">
        <v>63</v>
      </c>
      <c r="D1260" s="5" t="s">
        <v>22</v>
      </c>
      <c r="E1260" s="10">
        <v>2.17</v>
      </c>
      <c r="F1260" s="10">
        <v>9.8800000000000008</v>
      </c>
      <c r="G1260" s="10">
        <v>6.59</v>
      </c>
      <c r="H1260" s="10">
        <v>1.87</v>
      </c>
      <c r="I1260" s="8">
        <f t="shared" si="61"/>
        <v>2.7464652600000004</v>
      </c>
      <c r="K1260" s="8">
        <f t="shared" si="63"/>
        <v>13.760394932592229</v>
      </c>
      <c r="L1260" s="8">
        <f t="shared" si="62"/>
        <v>6.8801974662961145</v>
      </c>
    </row>
    <row r="1261" spans="1:12" x14ac:dyDescent="0.25">
      <c r="A1261" s="1">
        <v>1262</v>
      </c>
      <c r="B1261" s="1">
        <v>355</v>
      </c>
      <c r="C1261" s="3" t="s">
        <v>63</v>
      </c>
      <c r="D1261" s="5" t="s">
        <v>22</v>
      </c>
      <c r="E1261" s="10">
        <v>2.0299999999999998</v>
      </c>
      <c r="F1261" s="10">
        <v>9.76</v>
      </c>
      <c r="G1261" s="10">
        <v>7.41</v>
      </c>
      <c r="H1261" s="10">
        <v>1.74</v>
      </c>
      <c r="I1261" s="8">
        <f t="shared" si="61"/>
        <v>2.37787704</v>
      </c>
      <c r="K1261" s="8">
        <f t="shared" si="63"/>
        <v>17.527933536565758</v>
      </c>
      <c r="L1261" s="8">
        <f t="shared" si="62"/>
        <v>8.763966768282879</v>
      </c>
    </row>
    <row r="1262" spans="1:12" x14ac:dyDescent="0.25">
      <c r="A1262" s="1">
        <v>1263</v>
      </c>
      <c r="B1262" s="1">
        <v>356</v>
      </c>
      <c r="C1262" s="3" t="s">
        <v>63</v>
      </c>
      <c r="D1262" s="5" t="s">
        <v>22</v>
      </c>
      <c r="E1262" s="10">
        <v>2.3199999999999998</v>
      </c>
      <c r="F1262" s="10">
        <v>9.33</v>
      </c>
      <c r="G1262" s="10">
        <v>8.99</v>
      </c>
      <c r="H1262" s="10">
        <v>2.09</v>
      </c>
      <c r="I1262" s="8">
        <f t="shared" si="61"/>
        <v>3.4307057399999992</v>
      </c>
      <c r="K1262" s="8">
        <f t="shared" si="63"/>
        <v>26.118243681499454</v>
      </c>
      <c r="L1262" s="8">
        <f t="shared" si="62"/>
        <v>13.059121840749727</v>
      </c>
    </row>
    <row r="1263" spans="1:12" x14ac:dyDescent="0.25">
      <c r="A1263" s="1">
        <v>1264</v>
      </c>
      <c r="B1263" s="1">
        <v>357</v>
      </c>
      <c r="C1263" s="3" t="s">
        <v>63</v>
      </c>
      <c r="D1263" s="5" t="s">
        <v>22</v>
      </c>
      <c r="E1263" s="10">
        <v>2.29</v>
      </c>
      <c r="F1263" s="10">
        <v>10.27</v>
      </c>
      <c r="G1263" s="10">
        <v>8.6</v>
      </c>
      <c r="H1263" s="10">
        <v>1.93</v>
      </c>
      <c r="I1263" s="8">
        <f t="shared" si="61"/>
        <v>2.92553646</v>
      </c>
      <c r="K1263" s="8">
        <f t="shared" si="63"/>
        <v>23.834080384772633</v>
      </c>
      <c r="L1263" s="8">
        <f t="shared" si="62"/>
        <v>11.917040192386317</v>
      </c>
    </row>
    <row r="1264" spans="1:12" x14ac:dyDescent="0.25">
      <c r="A1264" s="1">
        <v>1265</v>
      </c>
      <c r="B1264" s="1">
        <v>358</v>
      </c>
      <c r="C1264" s="3" t="s">
        <v>63</v>
      </c>
      <c r="D1264" s="5" t="s">
        <v>22</v>
      </c>
      <c r="E1264" s="10">
        <v>1.5</v>
      </c>
      <c r="F1264" s="10">
        <v>6.11</v>
      </c>
      <c r="G1264" s="10">
        <v>6.86</v>
      </c>
      <c r="H1264" s="10">
        <v>1.95</v>
      </c>
      <c r="I1264" s="8">
        <f t="shared" si="61"/>
        <v>2.9864834999999998</v>
      </c>
      <c r="K1264" s="8">
        <f t="shared" si="63"/>
        <v>14.949121042377246</v>
      </c>
      <c r="L1264" s="8">
        <f t="shared" si="62"/>
        <v>7.4745605211886232</v>
      </c>
    </row>
    <row r="1265" spans="1:12" x14ac:dyDescent="0.25">
      <c r="A1265" s="1">
        <v>1266</v>
      </c>
      <c r="B1265" s="1">
        <v>359</v>
      </c>
      <c r="C1265" s="3" t="s">
        <v>63</v>
      </c>
      <c r="D1265" s="5" t="s">
        <v>22</v>
      </c>
      <c r="E1265" s="10">
        <v>1.63</v>
      </c>
      <c r="F1265" s="10">
        <v>11.17</v>
      </c>
      <c r="G1265" s="10">
        <v>5.53</v>
      </c>
      <c r="H1265" s="10">
        <v>2.0499999999999998</v>
      </c>
      <c r="I1265" s="8">
        <f t="shared" si="61"/>
        <v>3.3006434999999996</v>
      </c>
      <c r="K1265" s="8">
        <f t="shared" si="63"/>
        <v>9.5823968738114988</v>
      </c>
      <c r="L1265" s="8">
        <f t="shared" si="62"/>
        <v>4.7911984369057494</v>
      </c>
    </row>
    <row r="1266" spans="1:12" x14ac:dyDescent="0.25">
      <c r="A1266" s="1">
        <v>1267</v>
      </c>
      <c r="B1266" s="1">
        <v>360</v>
      </c>
      <c r="C1266" s="3" t="s">
        <v>63</v>
      </c>
      <c r="D1266" s="5" t="s">
        <v>22</v>
      </c>
      <c r="E1266" s="10">
        <v>1.57</v>
      </c>
      <c r="F1266" s="10">
        <v>11.1</v>
      </c>
      <c r="G1266" s="10">
        <v>6.82</v>
      </c>
      <c r="H1266" s="10">
        <v>1.67</v>
      </c>
      <c r="I1266" s="8">
        <f t="shared" si="61"/>
        <v>2.1904020599999998</v>
      </c>
      <c r="K1266" s="8">
        <f t="shared" si="63"/>
        <v>14.769809801444969</v>
      </c>
      <c r="L1266" s="8">
        <f t="shared" si="62"/>
        <v>7.3849049007224847</v>
      </c>
    </row>
    <row r="1267" spans="1:12" x14ac:dyDescent="0.25">
      <c r="A1267" s="1">
        <v>1268</v>
      </c>
      <c r="B1267" s="1">
        <v>361</v>
      </c>
      <c r="C1267" s="3" t="s">
        <v>63</v>
      </c>
      <c r="D1267" s="5" t="s">
        <v>22</v>
      </c>
      <c r="E1267" s="10">
        <v>2.19</v>
      </c>
      <c r="F1267" s="10">
        <v>5.2</v>
      </c>
      <c r="G1267" s="10">
        <v>7.71</v>
      </c>
      <c r="H1267" s="10">
        <v>2.0499999999999998</v>
      </c>
      <c r="I1267" s="8">
        <f t="shared" si="61"/>
        <v>3.3006434999999996</v>
      </c>
      <c r="K1267" s="8">
        <f t="shared" si="63"/>
        <v>19.023812406087085</v>
      </c>
      <c r="L1267" s="8">
        <f t="shared" si="62"/>
        <v>9.5119062030435426</v>
      </c>
    </row>
    <row r="1268" spans="1:12" x14ac:dyDescent="0.25">
      <c r="A1268" s="1">
        <v>1269</v>
      </c>
      <c r="B1268" s="1">
        <v>362</v>
      </c>
      <c r="C1268" s="3" t="s">
        <v>63</v>
      </c>
      <c r="D1268" s="5" t="s">
        <v>22</v>
      </c>
      <c r="E1268" s="10">
        <v>1.4</v>
      </c>
      <c r="F1268" s="10">
        <v>10.78</v>
      </c>
      <c r="G1268" s="10">
        <v>3.71</v>
      </c>
      <c r="H1268" s="10">
        <v>2.06</v>
      </c>
      <c r="I1268" s="8">
        <f t="shared" si="61"/>
        <v>3.3329234399999996</v>
      </c>
      <c r="K1268" s="8">
        <f t="shared" si="63"/>
        <v>4.2049797441830394</v>
      </c>
      <c r="L1268" s="8">
        <f t="shared" si="62"/>
        <v>2.1024898720915197</v>
      </c>
    </row>
    <row r="1269" spans="1:12" x14ac:dyDescent="0.25">
      <c r="A1269" s="1">
        <v>1270</v>
      </c>
      <c r="B1269" s="1">
        <v>363</v>
      </c>
      <c r="C1269" s="3" t="s">
        <v>63</v>
      </c>
      <c r="D1269" s="5" t="s">
        <v>22</v>
      </c>
      <c r="E1269" s="10">
        <v>1.1599999999999999</v>
      </c>
      <c r="F1269" s="10">
        <v>5.9</v>
      </c>
      <c r="G1269" s="10">
        <v>5.46</v>
      </c>
      <c r="H1269" s="10">
        <v>1.84</v>
      </c>
      <c r="I1269" s="8">
        <f t="shared" si="61"/>
        <v>2.65905024</v>
      </c>
      <c r="K1269" s="8">
        <f t="shared" si="63"/>
        <v>9.3337865251423953</v>
      </c>
      <c r="L1269" s="8">
        <f t="shared" si="62"/>
        <v>4.6668932625711976</v>
      </c>
    </row>
    <row r="1270" spans="1:12" x14ac:dyDescent="0.25">
      <c r="A1270" s="1">
        <v>1271</v>
      </c>
      <c r="B1270" s="1">
        <v>364</v>
      </c>
      <c r="C1270" s="3" t="s">
        <v>63</v>
      </c>
      <c r="D1270" s="5" t="s">
        <v>22</v>
      </c>
      <c r="E1270" s="10">
        <v>1.4</v>
      </c>
      <c r="F1270" s="10">
        <v>7.35</v>
      </c>
      <c r="G1270" s="10">
        <v>8.0399999999999991</v>
      </c>
      <c r="H1270" s="10">
        <v>1.92</v>
      </c>
      <c r="I1270" s="8">
        <f t="shared" si="61"/>
        <v>2.8952985600000001</v>
      </c>
      <c r="K1270" s="8">
        <f t="shared" si="63"/>
        <v>20.742290015160979</v>
      </c>
      <c r="L1270" s="8">
        <f t="shared" si="62"/>
        <v>10.371145007580489</v>
      </c>
    </row>
    <row r="1271" spans="1:12" x14ac:dyDescent="0.25">
      <c r="A1271" s="1">
        <v>1272</v>
      </c>
      <c r="B1271" s="1">
        <v>365</v>
      </c>
      <c r="C1271" s="3" t="s">
        <v>63</v>
      </c>
      <c r="D1271" s="5" t="s">
        <v>22</v>
      </c>
      <c r="E1271" s="10">
        <v>2.34</v>
      </c>
      <c r="F1271" s="10">
        <v>10.199999999999999</v>
      </c>
      <c r="G1271" s="10">
        <v>5.3</v>
      </c>
      <c r="H1271" s="10">
        <v>1.7</v>
      </c>
      <c r="I1271" s="8">
        <f t="shared" si="61"/>
        <v>2.2698059999999995</v>
      </c>
      <c r="K1271" s="8">
        <f t="shared" si="63"/>
        <v>8.7781723303859813</v>
      </c>
      <c r="L1271" s="8">
        <f t="shared" si="62"/>
        <v>4.3890861651929907</v>
      </c>
    </row>
    <row r="1272" spans="1:12" x14ac:dyDescent="0.25">
      <c r="A1272" s="1">
        <v>1273</v>
      </c>
      <c r="B1272" s="1">
        <v>366</v>
      </c>
      <c r="C1272" s="3" t="s">
        <v>63</v>
      </c>
      <c r="D1272" s="5" t="s">
        <v>22</v>
      </c>
      <c r="E1272" s="10">
        <v>1.59</v>
      </c>
      <c r="F1272" s="10">
        <v>6.13</v>
      </c>
      <c r="G1272" s="10">
        <v>6.43</v>
      </c>
      <c r="H1272" s="10">
        <v>1.73</v>
      </c>
      <c r="I1272" s="8">
        <f t="shared" si="61"/>
        <v>2.3506236600000001</v>
      </c>
      <c r="K1272" s="8">
        <f t="shared" si="63"/>
        <v>13.079892908974303</v>
      </c>
      <c r="L1272" s="8">
        <f t="shared" si="62"/>
        <v>6.5399464544871515</v>
      </c>
    </row>
    <row r="1273" spans="1:12" x14ac:dyDescent="0.25">
      <c r="A1273" s="1">
        <v>1274</v>
      </c>
      <c r="B1273" s="1">
        <v>367</v>
      </c>
      <c r="C1273" s="3" t="s">
        <v>63</v>
      </c>
      <c r="D1273" s="5" t="s">
        <v>22</v>
      </c>
      <c r="E1273" s="10">
        <v>2.1</v>
      </c>
      <c r="F1273" s="10">
        <v>10.73</v>
      </c>
      <c r="G1273" s="10">
        <v>6.53</v>
      </c>
      <c r="H1273" s="10">
        <v>1.79</v>
      </c>
      <c r="I1273" s="8">
        <f t="shared" si="61"/>
        <v>2.5165001399999998</v>
      </c>
      <c r="K1273" s="8">
        <f t="shared" si="63"/>
        <v>13.503122113946032</v>
      </c>
      <c r="L1273" s="8">
        <f t="shared" si="62"/>
        <v>6.7515610569730162</v>
      </c>
    </row>
    <row r="1274" spans="1:12" x14ac:dyDescent="0.25">
      <c r="A1274" s="1">
        <v>1275</v>
      </c>
      <c r="B1274" s="1">
        <v>368</v>
      </c>
      <c r="C1274" s="3" t="s">
        <v>63</v>
      </c>
      <c r="D1274" s="5" t="s">
        <v>22</v>
      </c>
      <c r="E1274" s="10">
        <v>1.93</v>
      </c>
      <c r="F1274" s="10">
        <v>10.82</v>
      </c>
      <c r="G1274" s="10">
        <v>4.1100000000000003</v>
      </c>
      <c r="H1274" s="10">
        <v>1.96</v>
      </c>
      <c r="I1274" s="8">
        <f t="shared" si="61"/>
        <v>3.0171926399999998</v>
      </c>
      <c r="K1274" s="8">
        <f t="shared" si="63"/>
        <v>5.194257135419595</v>
      </c>
      <c r="L1274" s="8">
        <f t="shared" si="62"/>
        <v>2.5971285677097975</v>
      </c>
    </row>
    <row r="1275" spans="1:12" x14ac:dyDescent="0.25">
      <c r="A1275" s="1">
        <v>1276</v>
      </c>
      <c r="B1275" s="1">
        <v>369</v>
      </c>
      <c r="C1275" s="3" t="s">
        <v>63</v>
      </c>
      <c r="D1275" s="5" t="s">
        <v>22</v>
      </c>
      <c r="E1275" s="10">
        <v>2.39</v>
      </c>
      <c r="F1275" s="10">
        <v>8.5500000000000007</v>
      </c>
      <c r="G1275" s="10">
        <v>5.17</v>
      </c>
      <c r="H1275" s="10">
        <v>2</v>
      </c>
      <c r="I1275" s="8">
        <f t="shared" si="61"/>
        <v>3.1415999999999999</v>
      </c>
      <c r="K1275" s="8">
        <f t="shared" si="63"/>
        <v>8.3396645329276389</v>
      </c>
      <c r="L1275" s="8">
        <f t="shared" si="62"/>
        <v>4.1698322664638194</v>
      </c>
    </row>
    <row r="1276" spans="1:12" x14ac:dyDescent="0.25">
      <c r="A1276" s="1">
        <v>1277</v>
      </c>
      <c r="B1276" s="1">
        <v>370</v>
      </c>
      <c r="C1276" s="3" t="s">
        <v>63</v>
      </c>
      <c r="D1276" s="5" t="s">
        <v>22</v>
      </c>
      <c r="E1276" s="10">
        <v>1.1499999999999999</v>
      </c>
      <c r="F1276" s="10">
        <v>5.04</v>
      </c>
      <c r="G1276" s="10">
        <v>5.01</v>
      </c>
      <c r="H1276" s="10">
        <v>1.88</v>
      </c>
      <c r="I1276" s="8">
        <f t="shared" si="61"/>
        <v>2.7759177599999996</v>
      </c>
      <c r="K1276" s="8">
        <f t="shared" si="63"/>
        <v>7.8158459871753543</v>
      </c>
      <c r="L1276" s="8">
        <f t="shared" si="62"/>
        <v>3.9079229935876771</v>
      </c>
    </row>
    <row r="1277" spans="1:12" x14ac:dyDescent="0.25">
      <c r="A1277" s="1">
        <v>1278</v>
      </c>
      <c r="B1277" s="1">
        <v>371</v>
      </c>
      <c r="C1277" s="3" t="s">
        <v>63</v>
      </c>
      <c r="D1277" s="5" t="s">
        <v>22</v>
      </c>
      <c r="E1277" s="10">
        <v>1.38</v>
      </c>
      <c r="F1277" s="10">
        <v>7.01</v>
      </c>
      <c r="G1277" s="10">
        <v>3.16</v>
      </c>
      <c r="H1277" s="10">
        <v>1.95</v>
      </c>
      <c r="I1277" s="8">
        <f t="shared" si="61"/>
        <v>2.9864834999999998</v>
      </c>
      <c r="K1277" s="8">
        <f t="shared" si="63"/>
        <v>3.0197093284003911</v>
      </c>
      <c r="L1277" s="8">
        <f t="shared" si="62"/>
        <v>1.5098546642001955</v>
      </c>
    </row>
    <row r="1278" spans="1:12" x14ac:dyDescent="0.25">
      <c r="A1278" s="1">
        <v>1279</v>
      </c>
      <c r="B1278" s="1">
        <v>372</v>
      </c>
      <c r="C1278" s="3" t="s">
        <v>63</v>
      </c>
      <c r="D1278" s="5" t="s">
        <v>22</v>
      </c>
      <c r="E1278" s="10">
        <v>1.43</v>
      </c>
      <c r="F1278" s="10">
        <v>9.32</v>
      </c>
      <c r="G1278" s="10">
        <v>3.15</v>
      </c>
      <c r="H1278" s="10">
        <v>2.0699999999999998</v>
      </c>
      <c r="I1278" s="8">
        <f t="shared" si="61"/>
        <v>3.3653604599999993</v>
      </c>
      <c r="K1278" s="8">
        <f t="shared" si="63"/>
        <v>3.0000236151704662</v>
      </c>
      <c r="L1278" s="8">
        <f t="shared" si="62"/>
        <v>1.5000118075852331</v>
      </c>
    </row>
    <row r="1279" spans="1:12" x14ac:dyDescent="0.25">
      <c r="A1279" s="1">
        <v>1280</v>
      </c>
      <c r="B1279" s="1">
        <v>373</v>
      </c>
      <c r="C1279" s="3" t="s">
        <v>63</v>
      </c>
      <c r="D1279" s="5" t="s">
        <v>22</v>
      </c>
      <c r="E1279" s="10">
        <v>2.29</v>
      </c>
      <c r="F1279" s="10">
        <v>11.87</v>
      </c>
      <c r="G1279" s="10">
        <v>7.99</v>
      </c>
      <c r="H1279" s="10">
        <v>2.0299999999999998</v>
      </c>
      <c r="I1279" s="8">
        <f t="shared" si="61"/>
        <v>3.2365548599999991</v>
      </c>
      <c r="K1279" s="8">
        <f t="shared" si="63"/>
        <v>20.47699030754621</v>
      </c>
      <c r="L1279" s="8">
        <f t="shared" si="62"/>
        <v>10.238495153773105</v>
      </c>
    </row>
    <row r="1280" spans="1:12" x14ac:dyDescent="0.25">
      <c r="A1280" s="1">
        <v>1281</v>
      </c>
      <c r="B1280" s="1">
        <v>374</v>
      </c>
      <c r="C1280" s="3" t="s">
        <v>63</v>
      </c>
      <c r="D1280" s="5" t="s">
        <v>22</v>
      </c>
      <c r="E1280" s="10">
        <v>1.86</v>
      </c>
      <c r="F1280" s="10">
        <v>9.42</v>
      </c>
      <c r="G1280" s="10">
        <v>4.6399999999999997</v>
      </c>
      <c r="H1280" s="10">
        <v>1.74</v>
      </c>
      <c r="I1280" s="8">
        <f t="shared" si="61"/>
        <v>2.37787704</v>
      </c>
      <c r="K1280" s="8">
        <f t="shared" si="63"/>
        <v>6.6714571121496684</v>
      </c>
      <c r="L1280" s="8">
        <f t="shared" si="62"/>
        <v>3.3357285560748342</v>
      </c>
    </row>
    <row r="1281" spans="1:12" x14ac:dyDescent="0.25">
      <c r="A1281" s="1">
        <v>1282</v>
      </c>
      <c r="B1281" s="1">
        <v>375</v>
      </c>
      <c r="C1281" s="3" t="s">
        <v>63</v>
      </c>
      <c r="D1281" s="5" t="s">
        <v>22</v>
      </c>
      <c r="E1281" s="10">
        <v>1.89</v>
      </c>
      <c r="F1281" s="10">
        <v>6.82</v>
      </c>
      <c r="G1281" s="10">
        <v>6.11</v>
      </c>
      <c r="H1281" s="10">
        <v>1.85</v>
      </c>
      <c r="I1281" s="8">
        <f t="shared" ref="I1281:I1344" si="64">0.7854*H1281^2</f>
        <v>2.6880315000000001</v>
      </c>
      <c r="K1281" s="8">
        <f t="shared" si="63"/>
        <v>11.77217970122566</v>
      </c>
      <c r="L1281" s="8">
        <f t="shared" ref="L1281:L1344" si="65">K1281*0.5</f>
        <v>5.8860898506128301</v>
      </c>
    </row>
    <row r="1282" spans="1:12" x14ac:dyDescent="0.25">
      <c r="A1282" s="1">
        <v>1283</v>
      </c>
      <c r="B1282" s="1">
        <v>376</v>
      </c>
      <c r="C1282" s="3" t="s">
        <v>63</v>
      </c>
      <c r="D1282" s="5" t="s">
        <v>22</v>
      </c>
      <c r="E1282" s="10">
        <v>1.93</v>
      </c>
      <c r="F1282" s="10">
        <v>9.44</v>
      </c>
      <c r="G1282" s="10">
        <v>4.79</v>
      </c>
      <c r="H1282" s="10">
        <v>1.76</v>
      </c>
      <c r="I1282" s="8">
        <f t="shared" si="64"/>
        <v>2.4328550399999997</v>
      </c>
      <c r="K1282" s="8">
        <f t="shared" si="63"/>
        <v>7.1241520097860302</v>
      </c>
      <c r="L1282" s="8">
        <f t="shared" si="65"/>
        <v>3.5620760048930151</v>
      </c>
    </row>
    <row r="1283" spans="1:12" x14ac:dyDescent="0.25">
      <c r="A1283" s="1">
        <v>1284</v>
      </c>
      <c r="B1283" s="1">
        <v>377</v>
      </c>
      <c r="C1283" s="3" t="s">
        <v>63</v>
      </c>
      <c r="D1283" s="5" t="s">
        <v>22</v>
      </c>
      <c r="E1283" s="10">
        <v>2.2599999999999998</v>
      </c>
      <c r="F1283" s="10">
        <v>8.7799999999999994</v>
      </c>
      <c r="G1283" s="10">
        <v>8.64</v>
      </c>
      <c r="H1283" s="10">
        <v>1.73</v>
      </c>
      <c r="I1283" s="8">
        <f t="shared" si="64"/>
        <v>2.3506236600000001</v>
      </c>
      <c r="K1283" s="8">
        <f t="shared" si="63"/>
        <v>24.063397945590811</v>
      </c>
      <c r="L1283" s="8">
        <f t="shared" si="65"/>
        <v>12.031698972795406</v>
      </c>
    </row>
    <row r="1284" spans="1:12" x14ac:dyDescent="0.25">
      <c r="A1284" s="1">
        <v>1285</v>
      </c>
      <c r="B1284" s="1">
        <v>378</v>
      </c>
      <c r="C1284" s="3" t="s">
        <v>63</v>
      </c>
      <c r="D1284" s="5" t="s">
        <v>22</v>
      </c>
      <c r="E1284" s="10">
        <v>1.82</v>
      </c>
      <c r="F1284" s="10">
        <v>10.46</v>
      </c>
      <c r="G1284" s="10">
        <v>4.5599999999999996</v>
      </c>
      <c r="H1284" s="10">
        <v>1.71</v>
      </c>
      <c r="I1284" s="8">
        <f t="shared" si="64"/>
        <v>2.2965881399999999</v>
      </c>
      <c r="K1284" s="8">
        <f t="shared" si="63"/>
        <v>6.436278063389703</v>
      </c>
      <c r="L1284" s="8">
        <f t="shared" si="65"/>
        <v>3.2181390316948515</v>
      </c>
    </row>
    <row r="1285" spans="1:12" x14ac:dyDescent="0.25">
      <c r="A1285" s="1">
        <v>1286</v>
      </c>
      <c r="B1285" s="1">
        <v>379</v>
      </c>
      <c r="C1285" s="3" t="s">
        <v>63</v>
      </c>
      <c r="D1285" s="5" t="s">
        <v>22</v>
      </c>
      <c r="E1285" s="10">
        <v>2.31</v>
      </c>
      <c r="F1285" s="10">
        <v>5.75</v>
      </c>
      <c r="G1285" s="10">
        <v>5.58</v>
      </c>
      <c r="H1285" s="10">
        <v>1.89</v>
      </c>
      <c r="I1285" s="8">
        <f t="shared" si="64"/>
        <v>2.8055273399999998</v>
      </c>
      <c r="K1285" s="8">
        <f t="shared" si="63"/>
        <v>9.7620384775142846</v>
      </c>
      <c r="L1285" s="8">
        <f t="shared" si="65"/>
        <v>4.8810192387571423</v>
      </c>
    </row>
    <row r="1286" spans="1:12" x14ac:dyDescent="0.25">
      <c r="A1286" s="1">
        <v>1287</v>
      </c>
      <c r="B1286" s="1">
        <v>380</v>
      </c>
      <c r="C1286" s="3" t="s">
        <v>63</v>
      </c>
      <c r="D1286" s="5" t="s">
        <v>22</v>
      </c>
      <c r="E1286" s="10">
        <v>2.0299999999999998</v>
      </c>
      <c r="F1286" s="10">
        <v>10.33</v>
      </c>
      <c r="G1286" s="10">
        <v>8.24</v>
      </c>
      <c r="H1286" s="10">
        <v>2.02</v>
      </c>
      <c r="I1286" s="8">
        <f t="shared" si="64"/>
        <v>3.20474616</v>
      </c>
      <c r="K1286" s="8">
        <f t="shared" si="63"/>
        <v>21.82110037122558</v>
      </c>
      <c r="L1286" s="8">
        <f t="shared" si="65"/>
        <v>10.91055018561279</v>
      </c>
    </row>
    <row r="1287" spans="1:12" x14ac:dyDescent="0.25">
      <c r="A1287" s="1">
        <v>1288</v>
      </c>
      <c r="B1287" s="1">
        <v>381</v>
      </c>
      <c r="C1287" s="3" t="s">
        <v>63</v>
      </c>
      <c r="D1287" s="5" t="s">
        <v>22</v>
      </c>
      <c r="E1287" s="10">
        <v>2.1</v>
      </c>
      <c r="F1287" s="10">
        <v>8.7899999999999991</v>
      </c>
      <c r="G1287" s="10">
        <v>8.0500000000000007</v>
      </c>
      <c r="H1287" s="10">
        <v>1.8</v>
      </c>
      <c r="I1287" s="8">
        <f t="shared" si="64"/>
        <v>2.5446960000000001</v>
      </c>
      <c r="K1287" s="8">
        <f t="shared" si="63"/>
        <v>20.795561189807074</v>
      </c>
      <c r="L1287" s="8">
        <f t="shared" si="65"/>
        <v>10.397780594903537</v>
      </c>
    </row>
    <row r="1288" spans="1:12" x14ac:dyDescent="0.25">
      <c r="A1288" s="1">
        <v>1289</v>
      </c>
      <c r="B1288" s="1">
        <v>382</v>
      </c>
      <c r="C1288" s="3" t="s">
        <v>63</v>
      </c>
      <c r="D1288" s="5" t="s">
        <v>22</v>
      </c>
      <c r="E1288" s="10">
        <v>2.16</v>
      </c>
      <c r="F1288" s="10">
        <v>11.74</v>
      </c>
      <c r="G1288" s="10">
        <v>4.12</v>
      </c>
      <c r="H1288" s="10">
        <v>2</v>
      </c>
      <c r="I1288" s="8">
        <f t="shared" si="64"/>
        <v>3.1415999999999999</v>
      </c>
      <c r="K1288" s="8">
        <f t="shared" si="63"/>
        <v>5.2203695871628453</v>
      </c>
      <c r="L1288" s="8">
        <f t="shared" si="65"/>
        <v>2.6101847935814226</v>
      </c>
    </row>
    <row r="1289" spans="1:12" x14ac:dyDescent="0.25">
      <c r="A1289" s="1">
        <v>1290</v>
      </c>
      <c r="B1289" s="1">
        <v>383</v>
      </c>
      <c r="C1289" s="3" t="s">
        <v>63</v>
      </c>
      <c r="D1289" s="5" t="s">
        <v>22</v>
      </c>
      <c r="E1289" s="10">
        <v>2.17</v>
      </c>
      <c r="F1289" s="10">
        <v>7.39</v>
      </c>
      <c r="G1289" s="10">
        <v>7.82</v>
      </c>
      <c r="H1289" s="10">
        <v>1.99</v>
      </c>
      <c r="I1289" s="8">
        <f t="shared" si="64"/>
        <v>3.1102625399999999</v>
      </c>
      <c r="K1289" s="8">
        <f t="shared" si="63"/>
        <v>19.58813013172561</v>
      </c>
      <c r="L1289" s="8">
        <f t="shared" si="65"/>
        <v>9.7940650658628048</v>
      </c>
    </row>
    <row r="1290" spans="1:12" x14ac:dyDescent="0.25">
      <c r="A1290" s="1">
        <v>1291</v>
      </c>
      <c r="B1290" s="1">
        <v>384</v>
      </c>
      <c r="C1290" s="3" t="s">
        <v>63</v>
      </c>
      <c r="D1290" s="5" t="s">
        <v>22</v>
      </c>
      <c r="E1290" s="10">
        <v>1.26</v>
      </c>
      <c r="F1290" s="10">
        <v>9.43</v>
      </c>
      <c r="G1290" s="10">
        <v>5.75</v>
      </c>
      <c r="H1290" s="10">
        <v>1.76</v>
      </c>
      <c r="I1290" s="8">
        <f t="shared" si="64"/>
        <v>2.4328550399999997</v>
      </c>
      <c r="K1290" s="8">
        <f t="shared" si="63"/>
        <v>10.385692100243467</v>
      </c>
      <c r="L1290" s="8">
        <f t="shared" si="65"/>
        <v>5.1928460501217337</v>
      </c>
    </row>
    <row r="1291" spans="1:12" x14ac:dyDescent="0.25">
      <c r="A1291" s="1">
        <v>1292</v>
      </c>
      <c r="B1291" s="1">
        <v>385</v>
      </c>
      <c r="C1291" s="3" t="s">
        <v>63</v>
      </c>
      <c r="D1291" s="5" t="s">
        <v>22</v>
      </c>
      <c r="E1291" s="10">
        <v>2.2999999999999998</v>
      </c>
      <c r="F1291" s="10">
        <v>11.52</v>
      </c>
      <c r="G1291" s="10">
        <v>5.9</v>
      </c>
      <c r="H1291" s="10">
        <v>1.98</v>
      </c>
      <c r="I1291" s="8">
        <f t="shared" si="64"/>
        <v>3.07908216</v>
      </c>
      <c r="K1291" s="8">
        <f t="shared" si="63"/>
        <v>10.952517900021304</v>
      </c>
      <c r="L1291" s="8">
        <f t="shared" si="65"/>
        <v>5.476258950010652</v>
      </c>
    </row>
    <row r="1292" spans="1:12" x14ac:dyDescent="0.25">
      <c r="A1292" s="1">
        <v>1293</v>
      </c>
      <c r="B1292" s="1">
        <v>386</v>
      </c>
      <c r="C1292" s="3" t="s">
        <v>63</v>
      </c>
      <c r="D1292" s="5" t="s">
        <v>22</v>
      </c>
      <c r="E1292" s="10">
        <v>1.72</v>
      </c>
      <c r="F1292" s="10">
        <v>5.72</v>
      </c>
      <c r="G1292" s="10">
        <v>3.8</v>
      </c>
      <c r="H1292" s="10">
        <v>1.99</v>
      </c>
      <c r="I1292" s="8">
        <f t="shared" si="64"/>
        <v>3.1102625399999999</v>
      </c>
      <c r="K1292" s="8">
        <f t="shared" ref="K1292:K1355" si="66">0.2811*G1292^2.0635</f>
        <v>4.4181890729503657</v>
      </c>
      <c r="L1292" s="8">
        <f t="shared" si="65"/>
        <v>2.2090945364751828</v>
      </c>
    </row>
    <row r="1293" spans="1:12" x14ac:dyDescent="0.25">
      <c r="A1293" s="1">
        <v>1294</v>
      </c>
      <c r="B1293" s="1">
        <v>387</v>
      </c>
      <c r="C1293" s="3" t="s">
        <v>63</v>
      </c>
      <c r="D1293" s="5" t="s">
        <v>22</v>
      </c>
      <c r="E1293" s="10">
        <v>1.9</v>
      </c>
      <c r="F1293" s="10">
        <v>11.56</v>
      </c>
      <c r="G1293" s="10">
        <v>3.48</v>
      </c>
      <c r="H1293" s="10">
        <v>1.8</v>
      </c>
      <c r="I1293" s="8">
        <f t="shared" si="64"/>
        <v>2.5446960000000001</v>
      </c>
      <c r="K1293" s="8">
        <f t="shared" si="66"/>
        <v>3.6847634730323016</v>
      </c>
      <c r="L1293" s="8">
        <f t="shared" si="65"/>
        <v>1.8423817365161508</v>
      </c>
    </row>
    <row r="1294" spans="1:12" x14ac:dyDescent="0.25">
      <c r="A1294" s="1">
        <v>1295</v>
      </c>
      <c r="B1294" s="1">
        <v>388</v>
      </c>
      <c r="C1294" s="3" t="s">
        <v>63</v>
      </c>
      <c r="D1294" s="5" t="s">
        <v>22</v>
      </c>
      <c r="E1294" s="10">
        <v>2.04</v>
      </c>
      <c r="F1294" s="10">
        <v>9.82</v>
      </c>
      <c r="G1294" s="10">
        <v>7.37</v>
      </c>
      <c r="H1294" s="10">
        <v>1.9</v>
      </c>
      <c r="I1294" s="8">
        <f t="shared" si="64"/>
        <v>2.8352939999999998</v>
      </c>
      <c r="K1294" s="8">
        <f t="shared" si="66"/>
        <v>17.333250233429752</v>
      </c>
      <c r="L1294" s="8">
        <f t="shared" si="65"/>
        <v>8.6666251167148758</v>
      </c>
    </row>
    <row r="1295" spans="1:12" x14ac:dyDescent="0.25">
      <c r="A1295" s="1">
        <v>1296</v>
      </c>
      <c r="B1295" s="1">
        <v>389</v>
      </c>
      <c r="C1295" s="3" t="s">
        <v>63</v>
      </c>
      <c r="D1295" s="5" t="s">
        <v>22</v>
      </c>
      <c r="E1295" s="10">
        <v>2.2999999999999998</v>
      </c>
      <c r="F1295" s="10">
        <v>5.47</v>
      </c>
      <c r="G1295" s="10">
        <v>5.98</v>
      </c>
      <c r="H1295" s="10">
        <v>1.89</v>
      </c>
      <c r="I1295" s="8">
        <f t="shared" si="64"/>
        <v>2.8055273399999998</v>
      </c>
      <c r="K1295" s="8">
        <f t="shared" si="66"/>
        <v>11.261175810425993</v>
      </c>
      <c r="L1295" s="8">
        <f t="shared" si="65"/>
        <v>5.6305879052129963</v>
      </c>
    </row>
    <row r="1296" spans="1:12" x14ac:dyDescent="0.25">
      <c r="A1296" s="1">
        <v>1297</v>
      </c>
      <c r="B1296" s="1">
        <v>390</v>
      </c>
      <c r="C1296" s="3" t="s">
        <v>63</v>
      </c>
      <c r="D1296" s="5" t="s">
        <v>22</v>
      </c>
      <c r="E1296" s="10">
        <v>2.29</v>
      </c>
      <c r="F1296" s="10">
        <v>7.11</v>
      </c>
      <c r="G1296" s="10">
        <v>5.62</v>
      </c>
      <c r="H1296" s="10">
        <v>1.93</v>
      </c>
      <c r="I1296" s="8">
        <f t="shared" si="64"/>
        <v>2.92553646</v>
      </c>
      <c r="K1296" s="8">
        <f t="shared" si="66"/>
        <v>9.9069901862164613</v>
      </c>
      <c r="L1296" s="8">
        <f t="shared" si="65"/>
        <v>4.9534950931082307</v>
      </c>
    </row>
    <row r="1297" spans="1:12" x14ac:dyDescent="0.25">
      <c r="A1297" s="1">
        <v>1298</v>
      </c>
      <c r="B1297" s="1">
        <v>391</v>
      </c>
      <c r="C1297" s="3" t="s">
        <v>63</v>
      </c>
      <c r="D1297" s="5" t="s">
        <v>22</v>
      </c>
      <c r="E1297" s="10">
        <v>2.0699999999999998</v>
      </c>
      <c r="F1297" s="10">
        <v>9.9600000000000009</v>
      </c>
      <c r="G1297" s="10">
        <v>7.38</v>
      </c>
      <c r="H1297" s="10">
        <v>2.1</v>
      </c>
      <c r="I1297" s="8">
        <f t="shared" si="64"/>
        <v>3.4636140000000002</v>
      </c>
      <c r="K1297" s="8">
        <f t="shared" si="66"/>
        <v>17.381815998454535</v>
      </c>
      <c r="L1297" s="8">
        <f t="shared" si="65"/>
        <v>8.6909079992272673</v>
      </c>
    </row>
    <row r="1298" spans="1:12" x14ac:dyDescent="0.25">
      <c r="A1298" s="1">
        <v>1299</v>
      </c>
      <c r="B1298" s="1">
        <v>392</v>
      </c>
      <c r="C1298" s="3" t="s">
        <v>63</v>
      </c>
      <c r="D1298" s="5" t="s">
        <v>22</v>
      </c>
      <c r="E1298" s="10">
        <v>1.93</v>
      </c>
      <c r="F1298" s="10">
        <v>5.47</v>
      </c>
      <c r="G1298" s="10">
        <v>7.59</v>
      </c>
      <c r="H1298" s="10">
        <v>1.86</v>
      </c>
      <c r="I1298" s="8">
        <f t="shared" si="64"/>
        <v>2.7171698400000004</v>
      </c>
      <c r="K1298" s="8">
        <f t="shared" si="66"/>
        <v>18.417884712901415</v>
      </c>
      <c r="L1298" s="8">
        <f t="shared" si="65"/>
        <v>9.2089423564507076</v>
      </c>
    </row>
    <row r="1299" spans="1:12" x14ac:dyDescent="0.25">
      <c r="A1299" s="1">
        <v>1300</v>
      </c>
      <c r="B1299" s="1">
        <v>393</v>
      </c>
      <c r="C1299" s="3" t="s">
        <v>63</v>
      </c>
      <c r="D1299" s="5" t="s">
        <v>22</v>
      </c>
      <c r="E1299" s="10">
        <v>1.45</v>
      </c>
      <c r="F1299" s="10">
        <v>9.08</v>
      </c>
      <c r="G1299" s="10">
        <v>3.95</v>
      </c>
      <c r="H1299" s="10">
        <v>1.69</v>
      </c>
      <c r="I1299" s="8">
        <f t="shared" si="64"/>
        <v>2.2431809399999998</v>
      </c>
      <c r="K1299" s="8">
        <f t="shared" si="66"/>
        <v>4.7856281735027855</v>
      </c>
      <c r="L1299" s="8">
        <f t="shared" si="65"/>
        <v>2.3928140867513927</v>
      </c>
    </row>
    <row r="1300" spans="1:12" x14ac:dyDescent="0.25">
      <c r="A1300" s="1">
        <v>1301</v>
      </c>
      <c r="B1300" s="1">
        <v>394</v>
      </c>
      <c r="C1300" s="3" t="s">
        <v>63</v>
      </c>
      <c r="D1300" s="5" t="s">
        <v>22</v>
      </c>
      <c r="E1300" s="10">
        <v>1.48</v>
      </c>
      <c r="F1300" s="10">
        <v>7.42</v>
      </c>
      <c r="G1300" s="10">
        <v>6.66</v>
      </c>
      <c r="H1300" s="10">
        <v>1.93</v>
      </c>
      <c r="I1300" s="8">
        <f t="shared" si="64"/>
        <v>2.92553646</v>
      </c>
      <c r="K1300" s="8">
        <f t="shared" si="66"/>
        <v>14.063710486555756</v>
      </c>
      <c r="L1300" s="8">
        <f t="shared" si="65"/>
        <v>7.031855243277878</v>
      </c>
    </row>
    <row r="1301" spans="1:12" x14ac:dyDescent="0.25">
      <c r="A1301" s="1">
        <v>1302</v>
      </c>
      <c r="B1301" s="1">
        <v>395</v>
      </c>
      <c r="C1301" s="3" t="s">
        <v>63</v>
      </c>
      <c r="D1301" s="5" t="s">
        <v>22</v>
      </c>
      <c r="E1301" s="10">
        <v>1.93</v>
      </c>
      <c r="F1301" s="10">
        <v>9.35</v>
      </c>
      <c r="G1301" s="10">
        <v>3.81</v>
      </c>
      <c r="H1301" s="10">
        <v>2</v>
      </c>
      <c r="I1301" s="8">
        <f t="shared" si="64"/>
        <v>3.1415999999999999</v>
      </c>
      <c r="K1301" s="8">
        <f t="shared" si="66"/>
        <v>4.4422145770836661</v>
      </c>
      <c r="L1301" s="8">
        <f t="shared" si="65"/>
        <v>2.221107288541833</v>
      </c>
    </row>
    <row r="1302" spans="1:12" x14ac:dyDescent="0.25">
      <c r="A1302" s="1">
        <v>1303</v>
      </c>
      <c r="B1302" s="1">
        <v>396</v>
      </c>
      <c r="C1302" s="3" t="s">
        <v>63</v>
      </c>
      <c r="D1302" s="5" t="s">
        <v>22</v>
      </c>
      <c r="E1302" s="10">
        <v>2.12</v>
      </c>
      <c r="F1302" s="10">
        <v>5.32</v>
      </c>
      <c r="G1302" s="10">
        <v>7.51</v>
      </c>
      <c r="H1302" s="10">
        <v>2.09</v>
      </c>
      <c r="I1302" s="8">
        <f t="shared" si="64"/>
        <v>3.4307057399999992</v>
      </c>
      <c r="K1302" s="8">
        <f t="shared" si="66"/>
        <v>18.019546449137863</v>
      </c>
      <c r="L1302" s="8">
        <f t="shared" si="65"/>
        <v>9.0097732245689315</v>
      </c>
    </row>
    <row r="1303" spans="1:12" x14ac:dyDescent="0.25">
      <c r="A1303" s="1">
        <v>1304</v>
      </c>
      <c r="B1303" s="1">
        <v>397</v>
      </c>
      <c r="C1303" s="3" t="s">
        <v>63</v>
      </c>
      <c r="D1303" s="5" t="s">
        <v>22</v>
      </c>
      <c r="E1303" s="10">
        <v>1.1200000000000001</v>
      </c>
      <c r="F1303" s="10">
        <v>11.1</v>
      </c>
      <c r="G1303" s="10">
        <v>6.94</v>
      </c>
      <c r="H1303" s="10">
        <v>1.75</v>
      </c>
      <c r="I1303" s="8">
        <f t="shared" si="64"/>
        <v>2.4052875</v>
      </c>
      <c r="K1303" s="8">
        <f t="shared" si="66"/>
        <v>15.311090125814209</v>
      </c>
      <c r="L1303" s="8">
        <f t="shared" si="65"/>
        <v>7.6555450629071045</v>
      </c>
    </row>
    <row r="1304" spans="1:12" x14ac:dyDescent="0.25">
      <c r="A1304" s="1">
        <v>1305</v>
      </c>
      <c r="B1304" s="1">
        <v>398</v>
      </c>
      <c r="C1304" s="3" t="s">
        <v>63</v>
      </c>
      <c r="D1304" s="5" t="s">
        <v>22</v>
      </c>
      <c r="E1304" s="10">
        <v>1.74</v>
      </c>
      <c r="F1304" s="10">
        <v>11.81</v>
      </c>
      <c r="G1304" s="10">
        <v>8.74</v>
      </c>
      <c r="H1304" s="10">
        <v>1.67</v>
      </c>
      <c r="I1304" s="8">
        <f t="shared" si="64"/>
        <v>2.1904020599999998</v>
      </c>
      <c r="K1304" s="8">
        <f t="shared" si="66"/>
        <v>24.641644445775032</v>
      </c>
      <c r="L1304" s="8">
        <f t="shared" si="65"/>
        <v>12.320822222887516</v>
      </c>
    </row>
    <row r="1305" spans="1:12" x14ac:dyDescent="0.25">
      <c r="A1305" s="1">
        <v>1306</v>
      </c>
      <c r="B1305" s="1">
        <v>399</v>
      </c>
      <c r="C1305" s="3" t="s">
        <v>63</v>
      </c>
      <c r="D1305" s="5" t="s">
        <v>22</v>
      </c>
      <c r="E1305" s="10">
        <v>1.79</v>
      </c>
      <c r="F1305" s="10">
        <v>11.78</v>
      </c>
      <c r="G1305" s="10">
        <v>8</v>
      </c>
      <c r="H1305" s="10">
        <v>1.82</v>
      </c>
      <c r="I1305" s="8">
        <f t="shared" si="64"/>
        <v>2.6015589600000002</v>
      </c>
      <c r="K1305" s="8">
        <f t="shared" si="66"/>
        <v>20.52990944556926</v>
      </c>
      <c r="L1305" s="8">
        <f t="shared" si="65"/>
        <v>10.26495472278463</v>
      </c>
    </row>
    <row r="1306" spans="1:12" x14ac:dyDescent="0.25">
      <c r="A1306" s="1">
        <v>1307</v>
      </c>
      <c r="B1306" s="1">
        <v>400</v>
      </c>
      <c r="C1306" s="3" t="s">
        <v>63</v>
      </c>
      <c r="D1306" s="5" t="s">
        <v>22</v>
      </c>
      <c r="E1306" s="10">
        <v>1.76</v>
      </c>
      <c r="F1306" s="10">
        <v>10.25</v>
      </c>
      <c r="G1306" s="10">
        <v>3.34</v>
      </c>
      <c r="H1306" s="10">
        <v>2.02</v>
      </c>
      <c r="I1306" s="8">
        <f t="shared" si="64"/>
        <v>3.20474616</v>
      </c>
      <c r="K1306" s="8">
        <f t="shared" si="66"/>
        <v>3.3854131738983515</v>
      </c>
      <c r="L1306" s="8">
        <f t="shared" si="65"/>
        <v>1.6927065869491758</v>
      </c>
    </row>
    <row r="1307" spans="1:12" x14ac:dyDescent="0.25">
      <c r="A1307" s="1">
        <v>1308</v>
      </c>
      <c r="B1307" s="1">
        <v>401</v>
      </c>
      <c r="C1307" s="3" t="s">
        <v>63</v>
      </c>
      <c r="D1307" s="5" t="s">
        <v>22</v>
      </c>
      <c r="E1307" s="10">
        <v>1.77</v>
      </c>
      <c r="F1307" s="10">
        <v>5.91</v>
      </c>
      <c r="G1307" s="10">
        <v>4.6900000000000004</v>
      </c>
      <c r="H1307" s="10">
        <v>2.06</v>
      </c>
      <c r="I1307" s="8">
        <f t="shared" si="64"/>
        <v>3.3329234399999996</v>
      </c>
      <c r="K1307" s="8">
        <f t="shared" si="66"/>
        <v>6.820653803202811</v>
      </c>
      <c r="L1307" s="8">
        <f t="shared" si="65"/>
        <v>3.4103269016014055</v>
      </c>
    </row>
    <row r="1308" spans="1:12" x14ac:dyDescent="0.25">
      <c r="A1308" s="1">
        <v>1309</v>
      </c>
      <c r="B1308" s="1">
        <v>402</v>
      </c>
      <c r="C1308" s="3" t="s">
        <v>63</v>
      </c>
      <c r="D1308" s="5" t="s">
        <v>22</v>
      </c>
      <c r="E1308" s="10">
        <v>1.35</v>
      </c>
      <c r="F1308" s="10">
        <v>10.31</v>
      </c>
      <c r="G1308" s="10">
        <v>4.57</v>
      </c>
      <c r="H1308" s="10">
        <v>1.82</v>
      </c>
      <c r="I1308" s="8">
        <f t="shared" si="64"/>
        <v>2.6015589600000002</v>
      </c>
      <c r="K1308" s="8">
        <f t="shared" si="66"/>
        <v>6.4654375985301122</v>
      </c>
      <c r="L1308" s="8">
        <f t="shared" si="65"/>
        <v>3.2327187992650561</v>
      </c>
    </row>
    <row r="1309" spans="1:12" x14ac:dyDescent="0.25">
      <c r="A1309" s="1">
        <v>1310</v>
      </c>
      <c r="B1309" s="1">
        <v>403</v>
      </c>
      <c r="C1309" s="3" t="s">
        <v>63</v>
      </c>
      <c r="D1309" s="5" t="s">
        <v>22</v>
      </c>
      <c r="E1309" s="10">
        <v>2.06</v>
      </c>
      <c r="F1309" s="10">
        <v>5.17</v>
      </c>
      <c r="G1309" s="10">
        <v>4.4800000000000004</v>
      </c>
      <c r="H1309" s="10">
        <v>2.06</v>
      </c>
      <c r="I1309" s="8">
        <f t="shared" si="64"/>
        <v>3.3329234399999996</v>
      </c>
      <c r="K1309" s="8">
        <f t="shared" si="66"/>
        <v>6.2054463825074784</v>
      </c>
      <c r="L1309" s="8">
        <f t="shared" si="65"/>
        <v>3.1027231912537392</v>
      </c>
    </row>
    <row r="1310" spans="1:12" x14ac:dyDescent="0.25">
      <c r="A1310" s="1">
        <v>1311</v>
      </c>
      <c r="B1310" s="1">
        <v>404</v>
      </c>
      <c r="C1310" s="3" t="s">
        <v>63</v>
      </c>
      <c r="D1310" s="5" t="s">
        <v>22</v>
      </c>
      <c r="E1310" s="10">
        <v>1.56</v>
      </c>
      <c r="F1310" s="10">
        <v>5.15</v>
      </c>
      <c r="G1310" s="10">
        <v>8.44</v>
      </c>
      <c r="H1310" s="10">
        <v>2.06</v>
      </c>
      <c r="I1310" s="8">
        <f t="shared" si="64"/>
        <v>3.3329234399999996</v>
      </c>
      <c r="K1310" s="8">
        <f t="shared" si="66"/>
        <v>22.928122015273225</v>
      </c>
      <c r="L1310" s="8">
        <f t="shared" si="65"/>
        <v>11.464061007636612</v>
      </c>
    </row>
    <row r="1311" spans="1:12" x14ac:dyDescent="0.25">
      <c r="A1311" s="1">
        <v>1312</v>
      </c>
      <c r="B1311" s="1">
        <v>405</v>
      </c>
      <c r="C1311" s="3" t="s">
        <v>63</v>
      </c>
      <c r="D1311" s="5" t="s">
        <v>22</v>
      </c>
      <c r="E1311" s="10">
        <v>1.94</v>
      </c>
      <c r="F1311" s="10">
        <v>7.27</v>
      </c>
      <c r="G1311" s="10">
        <v>4.5</v>
      </c>
      <c r="H1311" s="10">
        <v>1.94</v>
      </c>
      <c r="I1311" s="8">
        <f t="shared" si="64"/>
        <v>2.9559314399999996</v>
      </c>
      <c r="K1311" s="8">
        <f t="shared" si="66"/>
        <v>6.262747002675594</v>
      </c>
      <c r="L1311" s="8">
        <f t="shared" si="65"/>
        <v>3.131373501337797</v>
      </c>
    </row>
    <row r="1312" spans="1:12" x14ac:dyDescent="0.25">
      <c r="A1312" s="1">
        <v>1313</v>
      </c>
      <c r="B1312" s="1">
        <v>406</v>
      </c>
      <c r="C1312" s="3" t="s">
        <v>63</v>
      </c>
      <c r="D1312" s="5" t="s">
        <v>22</v>
      </c>
      <c r="E1312" s="10">
        <v>1.41</v>
      </c>
      <c r="F1312" s="10">
        <v>8.42</v>
      </c>
      <c r="G1312" s="10">
        <v>4.63</v>
      </c>
      <c r="H1312" s="10">
        <v>1.82</v>
      </c>
      <c r="I1312" s="8">
        <f t="shared" si="64"/>
        <v>2.6015589600000002</v>
      </c>
      <c r="K1312" s="8">
        <f t="shared" si="66"/>
        <v>6.641821819424111</v>
      </c>
      <c r="L1312" s="8">
        <f t="shared" si="65"/>
        <v>3.3209109097120555</v>
      </c>
    </row>
    <row r="1313" spans="1:12" x14ac:dyDescent="0.25">
      <c r="A1313" s="1">
        <v>1314</v>
      </c>
      <c r="B1313" s="1">
        <v>407</v>
      </c>
      <c r="C1313" s="3" t="s">
        <v>63</v>
      </c>
      <c r="D1313" s="5" t="s">
        <v>22</v>
      </c>
      <c r="E1313" s="10">
        <v>1.59</v>
      </c>
      <c r="F1313" s="10">
        <v>10.39</v>
      </c>
      <c r="G1313" s="10">
        <v>7.56</v>
      </c>
      <c r="H1313" s="10">
        <v>1.91</v>
      </c>
      <c r="I1313" s="8">
        <f t="shared" si="64"/>
        <v>2.8652177399999998</v>
      </c>
      <c r="K1313" s="8">
        <f t="shared" si="66"/>
        <v>18.267981815450625</v>
      </c>
      <c r="L1313" s="8">
        <f t="shared" si="65"/>
        <v>9.1339909077253125</v>
      </c>
    </row>
    <row r="1314" spans="1:12" x14ac:dyDescent="0.25">
      <c r="A1314" s="1">
        <v>1315</v>
      </c>
      <c r="B1314" s="1">
        <v>408</v>
      </c>
      <c r="C1314" s="3" t="s">
        <v>63</v>
      </c>
      <c r="D1314" s="5" t="s">
        <v>22</v>
      </c>
      <c r="E1314" s="10">
        <v>2.09</v>
      </c>
      <c r="F1314" s="10">
        <v>9.7799999999999994</v>
      </c>
      <c r="G1314" s="10">
        <v>5.7</v>
      </c>
      <c r="H1314" s="10">
        <v>1.95</v>
      </c>
      <c r="I1314" s="8">
        <f t="shared" si="64"/>
        <v>2.9864834999999998</v>
      </c>
      <c r="K1314" s="8">
        <f t="shared" si="66"/>
        <v>10.200198192245225</v>
      </c>
      <c r="L1314" s="8">
        <f t="shared" si="65"/>
        <v>5.1000990961226123</v>
      </c>
    </row>
    <row r="1315" spans="1:12" x14ac:dyDescent="0.25">
      <c r="A1315" s="1">
        <v>1316</v>
      </c>
      <c r="B1315" s="1">
        <v>409</v>
      </c>
      <c r="C1315" s="3" t="s">
        <v>63</v>
      </c>
      <c r="D1315" s="5" t="s">
        <v>22</v>
      </c>
      <c r="E1315" s="10">
        <v>2.06</v>
      </c>
      <c r="F1315" s="10">
        <v>8.1199999999999992</v>
      </c>
      <c r="G1315" s="10">
        <v>7.66</v>
      </c>
      <c r="H1315" s="10">
        <v>2.0299999999999998</v>
      </c>
      <c r="I1315" s="8">
        <f t="shared" si="64"/>
        <v>3.2365548599999991</v>
      </c>
      <c r="K1315" s="8">
        <f t="shared" si="66"/>
        <v>18.770114061980465</v>
      </c>
      <c r="L1315" s="8">
        <f t="shared" si="65"/>
        <v>9.3850570309902324</v>
      </c>
    </row>
    <row r="1316" spans="1:12" x14ac:dyDescent="0.25">
      <c r="A1316" s="1">
        <v>1317</v>
      </c>
      <c r="B1316" s="1">
        <v>410</v>
      </c>
      <c r="C1316" s="3" t="s">
        <v>63</v>
      </c>
      <c r="D1316" s="5" t="s">
        <v>22</v>
      </c>
      <c r="E1316" s="10">
        <v>1.1100000000000001</v>
      </c>
      <c r="F1316" s="10">
        <v>6.92</v>
      </c>
      <c r="G1316" s="10">
        <v>3.39</v>
      </c>
      <c r="H1316" s="10">
        <v>1.77</v>
      </c>
      <c r="I1316" s="8">
        <f t="shared" si="64"/>
        <v>2.4605796600000001</v>
      </c>
      <c r="K1316" s="8">
        <f t="shared" si="66"/>
        <v>3.4908237564286249</v>
      </c>
      <c r="L1316" s="8">
        <f t="shared" si="65"/>
        <v>1.7454118782143124</v>
      </c>
    </row>
    <row r="1317" spans="1:12" x14ac:dyDescent="0.25">
      <c r="A1317" s="1">
        <v>1318</v>
      </c>
      <c r="B1317" s="1">
        <v>411</v>
      </c>
      <c r="C1317" s="3" t="s">
        <v>63</v>
      </c>
      <c r="D1317" s="5" t="s">
        <v>22</v>
      </c>
      <c r="E1317" s="10">
        <v>2.02</v>
      </c>
      <c r="F1317" s="10">
        <v>11.98</v>
      </c>
      <c r="G1317" s="10">
        <v>5.93</v>
      </c>
      <c r="H1317" s="10">
        <v>1.84</v>
      </c>
      <c r="I1317" s="8">
        <f t="shared" si="64"/>
        <v>2.65905024</v>
      </c>
      <c r="K1317" s="8">
        <f t="shared" si="66"/>
        <v>11.067746551800935</v>
      </c>
      <c r="L1317" s="8">
        <f t="shared" si="65"/>
        <v>5.5338732759004676</v>
      </c>
    </row>
    <row r="1318" spans="1:12" x14ac:dyDescent="0.25">
      <c r="A1318" s="1">
        <v>1319</v>
      </c>
      <c r="B1318" s="1">
        <v>412</v>
      </c>
      <c r="C1318" s="3" t="s">
        <v>63</v>
      </c>
      <c r="D1318" s="5" t="s">
        <v>22</v>
      </c>
      <c r="E1318" s="10">
        <v>1.52</v>
      </c>
      <c r="F1318" s="10">
        <v>7.98</v>
      </c>
      <c r="G1318" s="10">
        <v>3.2</v>
      </c>
      <c r="H1318" s="10">
        <v>1.75</v>
      </c>
      <c r="I1318" s="8">
        <f t="shared" si="64"/>
        <v>2.4052875</v>
      </c>
      <c r="K1318" s="8">
        <f t="shared" si="66"/>
        <v>3.0991159548452765</v>
      </c>
      <c r="L1318" s="8">
        <f t="shared" si="65"/>
        <v>1.5495579774226382</v>
      </c>
    </row>
    <row r="1319" spans="1:12" x14ac:dyDescent="0.25">
      <c r="A1319" s="1">
        <v>1320</v>
      </c>
      <c r="B1319" s="1">
        <v>413</v>
      </c>
      <c r="C1319" s="3" t="s">
        <v>63</v>
      </c>
      <c r="D1319" s="5" t="s">
        <v>22</v>
      </c>
      <c r="E1319" s="10">
        <v>1.59</v>
      </c>
      <c r="F1319" s="10">
        <v>8.16</v>
      </c>
      <c r="G1319" s="10">
        <v>3.38</v>
      </c>
      <c r="H1319" s="10">
        <v>2</v>
      </c>
      <c r="I1319" s="8">
        <f t="shared" si="64"/>
        <v>3.1415999999999999</v>
      </c>
      <c r="K1319" s="8">
        <f t="shared" si="66"/>
        <v>3.469608368456687</v>
      </c>
      <c r="L1319" s="8">
        <f t="shared" si="65"/>
        <v>1.7348041842283435</v>
      </c>
    </row>
    <row r="1320" spans="1:12" x14ac:dyDescent="0.25">
      <c r="A1320" s="1">
        <v>1321</v>
      </c>
      <c r="B1320" s="1">
        <v>414</v>
      </c>
      <c r="C1320" s="3" t="s">
        <v>63</v>
      </c>
      <c r="D1320" s="5" t="s">
        <v>22</v>
      </c>
      <c r="E1320" s="10">
        <v>1.24</v>
      </c>
      <c r="F1320" s="10">
        <v>6.15</v>
      </c>
      <c r="G1320" s="10">
        <v>8.44</v>
      </c>
      <c r="H1320" s="10">
        <v>1.87</v>
      </c>
      <c r="I1320" s="8">
        <f t="shared" si="64"/>
        <v>2.7464652600000004</v>
      </c>
      <c r="K1320" s="8">
        <f t="shared" si="66"/>
        <v>22.928122015273225</v>
      </c>
      <c r="L1320" s="8">
        <f t="shared" si="65"/>
        <v>11.464061007636612</v>
      </c>
    </row>
    <row r="1321" spans="1:12" x14ac:dyDescent="0.25">
      <c r="A1321" s="1">
        <v>1322</v>
      </c>
      <c r="B1321" s="1">
        <v>415</v>
      </c>
      <c r="C1321" s="3" t="s">
        <v>63</v>
      </c>
      <c r="D1321" s="5" t="s">
        <v>22</v>
      </c>
      <c r="E1321" s="10">
        <v>1.84</v>
      </c>
      <c r="F1321" s="10">
        <v>10.56</v>
      </c>
      <c r="G1321" s="10">
        <v>3.84</v>
      </c>
      <c r="H1321" s="10">
        <v>1.95</v>
      </c>
      <c r="I1321" s="8">
        <f t="shared" si="64"/>
        <v>2.9864834999999998</v>
      </c>
      <c r="K1321" s="8">
        <f t="shared" si="66"/>
        <v>4.514694076401689</v>
      </c>
      <c r="L1321" s="8">
        <f t="shared" si="65"/>
        <v>2.2573470382008445</v>
      </c>
    </row>
    <row r="1322" spans="1:12" x14ac:dyDescent="0.25">
      <c r="A1322" s="1">
        <v>1323</v>
      </c>
      <c r="B1322" s="1">
        <v>416</v>
      </c>
      <c r="C1322" s="3" t="s">
        <v>63</v>
      </c>
      <c r="D1322" s="5" t="s">
        <v>22</v>
      </c>
      <c r="E1322" s="10">
        <v>1.79</v>
      </c>
      <c r="F1322" s="10">
        <v>9.86</v>
      </c>
      <c r="G1322" s="10">
        <v>6.19</v>
      </c>
      <c r="H1322" s="10">
        <v>1.71</v>
      </c>
      <c r="I1322" s="8">
        <f t="shared" si="64"/>
        <v>2.2965881399999999</v>
      </c>
      <c r="K1322" s="8">
        <f t="shared" si="66"/>
        <v>12.092455555471457</v>
      </c>
      <c r="L1322" s="8">
        <f t="shared" si="65"/>
        <v>6.0462277777357283</v>
      </c>
    </row>
    <row r="1323" spans="1:12" x14ac:dyDescent="0.25">
      <c r="A1323" s="1">
        <v>1324</v>
      </c>
      <c r="B1323" s="1">
        <v>417</v>
      </c>
      <c r="C1323" s="3" t="s">
        <v>63</v>
      </c>
      <c r="D1323" s="5" t="s">
        <v>22</v>
      </c>
      <c r="E1323" s="10">
        <v>2.08</v>
      </c>
      <c r="F1323" s="10">
        <v>6.55</v>
      </c>
      <c r="G1323" s="10">
        <v>5.47</v>
      </c>
      <c r="H1323" s="10">
        <v>1.68</v>
      </c>
      <c r="I1323" s="8">
        <f t="shared" si="64"/>
        <v>2.2167129599999997</v>
      </c>
      <c r="K1323" s="8">
        <f t="shared" si="66"/>
        <v>9.3690960980694005</v>
      </c>
      <c r="L1323" s="8">
        <f t="shared" si="65"/>
        <v>4.6845480490347002</v>
      </c>
    </row>
    <row r="1324" spans="1:12" x14ac:dyDescent="0.25">
      <c r="A1324" s="1">
        <v>1325</v>
      </c>
      <c r="B1324" s="1">
        <v>418</v>
      </c>
      <c r="C1324" s="3" t="s">
        <v>63</v>
      </c>
      <c r="D1324" s="5" t="s">
        <v>22</v>
      </c>
      <c r="E1324" s="10">
        <v>1.9</v>
      </c>
      <c r="F1324" s="10">
        <v>5.58</v>
      </c>
      <c r="G1324" s="10">
        <v>5.08</v>
      </c>
      <c r="H1324" s="10">
        <v>1.68</v>
      </c>
      <c r="I1324" s="8">
        <f t="shared" si="64"/>
        <v>2.2167129599999997</v>
      </c>
      <c r="K1324" s="8">
        <f t="shared" si="66"/>
        <v>8.0428619776756953</v>
      </c>
      <c r="L1324" s="8">
        <f t="shared" si="65"/>
        <v>4.0214309888378477</v>
      </c>
    </row>
    <row r="1325" spans="1:12" x14ac:dyDescent="0.25">
      <c r="A1325" s="1">
        <v>1326</v>
      </c>
      <c r="B1325" s="1">
        <v>419</v>
      </c>
      <c r="C1325" s="3" t="s">
        <v>63</v>
      </c>
      <c r="D1325" s="5" t="s">
        <v>22</v>
      </c>
      <c r="E1325" s="10">
        <v>1.6</v>
      </c>
      <c r="F1325" s="10">
        <v>9.76</v>
      </c>
      <c r="G1325" s="10">
        <v>8.4</v>
      </c>
      <c r="H1325" s="10">
        <v>2.1</v>
      </c>
      <c r="I1325" s="8">
        <f t="shared" si="64"/>
        <v>3.4636140000000002</v>
      </c>
      <c r="K1325" s="8">
        <f t="shared" si="66"/>
        <v>22.704458705638483</v>
      </c>
      <c r="L1325" s="8">
        <f t="shared" si="65"/>
        <v>11.352229352819242</v>
      </c>
    </row>
    <row r="1326" spans="1:12" x14ac:dyDescent="0.25">
      <c r="A1326" s="1">
        <v>1327</v>
      </c>
      <c r="B1326" s="1">
        <v>420</v>
      </c>
      <c r="C1326" s="3" t="s">
        <v>63</v>
      </c>
      <c r="D1326" s="5" t="s">
        <v>22</v>
      </c>
      <c r="E1326" s="10">
        <v>2.39</v>
      </c>
      <c r="F1326" s="10">
        <v>9.58</v>
      </c>
      <c r="G1326" s="10">
        <v>3.13</v>
      </c>
      <c r="H1326" s="10">
        <v>1.82</v>
      </c>
      <c r="I1326" s="8">
        <f t="shared" si="64"/>
        <v>2.6015589600000002</v>
      </c>
      <c r="K1326" s="8">
        <f t="shared" si="66"/>
        <v>2.9608512274163559</v>
      </c>
      <c r="L1326" s="8">
        <f t="shared" si="65"/>
        <v>1.4804256137081779</v>
      </c>
    </row>
    <row r="1327" spans="1:12" x14ac:dyDescent="0.25">
      <c r="A1327" s="1">
        <v>1328</v>
      </c>
      <c r="B1327" s="1">
        <v>421</v>
      </c>
      <c r="C1327" s="3" t="s">
        <v>63</v>
      </c>
      <c r="D1327" s="5" t="s">
        <v>22</v>
      </c>
      <c r="E1327" s="10">
        <v>2.1800000000000002</v>
      </c>
      <c r="F1327" s="10">
        <v>6.91</v>
      </c>
      <c r="G1327" s="10">
        <v>6.98</v>
      </c>
      <c r="H1327" s="10">
        <v>1.93</v>
      </c>
      <c r="I1327" s="8">
        <f t="shared" si="64"/>
        <v>2.92553646</v>
      </c>
      <c r="K1327" s="8">
        <f t="shared" si="66"/>
        <v>15.493748789825302</v>
      </c>
      <c r="L1327" s="8">
        <f t="shared" si="65"/>
        <v>7.7468743949126511</v>
      </c>
    </row>
    <row r="1328" spans="1:12" x14ac:dyDescent="0.25">
      <c r="A1328" s="1">
        <v>1329</v>
      </c>
      <c r="B1328" s="1">
        <v>422</v>
      </c>
      <c r="C1328" s="3" t="s">
        <v>63</v>
      </c>
      <c r="D1328" s="5" t="s">
        <v>22</v>
      </c>
      <c r="E1328" s="10">
        <v>2.36</v>
      </c>
      <c r="F1328" s="10">
        <v>11.66</v>
      </c>
      <c r="G1328" s="10">
        <v>8.7799999999999994</v>
      </c>
      <c r="H1328" s="10">
        <v>1.71</v>
      </c>
      <c r="I1328" s="8">
        <f t="shared" si="64"/>
        <v>2.2965881399999999</v>
      </c>
      <c r="K1328" s="8">
        <f t="shared" si="66"/>
        <v>24.87492495386325</v>
      </c>
      <c r="L1328" s="8">
        <f t="shared" si="65"/>
        <v>12.437462476931625</v>
      </c>
    </row>
    <row r="1329" spans="1:12" x14ac:dyDescent="0.25">
      <c r="A1329" s="1">
        <v>1330</v>
      </c>
      <c r="B1329" s="1">
        <v>423</v>
      </c>
      <c r="C1329" s="3" t="s">
        <v>63</v>
      </c>
      <c r="D1329" s="5" t="s">
        <v>22</v>
      </c>
      <c r="E1329" s="10">
        <v>1.42</v>
      </c>
      <c r="F1329" s="10">
        <v>6.06</v>
      </c>
      <c r="G1329" s="10">
        <v>6.36</v>
      </c>
      <c r="H1329" s="10">
        <v>1.87</v>
      </c>
      <c r="I1329" s="8">
        <f t="shared" si="64"/>
        <v>2.7464652600000004</v>
      </c>
      <c r="K1329" s="8">
        <f t="shared" si="66"/>
        <v>12.787763736192748</v>
      </c>
      <c r="L1329" s="8">
        <f t="shared" si="65"/>
        <v>6.3938818680963738</v>
      </c>
    </row>
    <row r="1330" spans="1:12" x14ac:dyDescent="0.25">
      <c r="A1330" s="1">
        <v>1331</v>
      </c>
      <c r="B1330" s="1">
        <v>424</v>
      </c>
      <c r="C1330" s="3" t="s">
        <v>63</v>
      </c>
      <c r="D1330" s="5" t="s">
        <v>22</v>
      </c>
      <c r="E1330" s="10">
        <v>2.23</v>
      </c>
      <c r="F1330" s="10">
        <v>8.0299999999999994</v>
      </c>
      <c r="G1330" s="10">
        <v>8.6199999999999992</v>
      </c>
      <c r="H1330" s="10">
        <v>1.89</v>
      </c>
      <c r="I1330" s="8">
        <f t="shared" si="64"/>
        <v>2.8055273399999998</v>
      </c>
      <c r="K1330" s="8">
        <f t="shared" si="66"/>
        <v>23.948597703926112</v>
      </c>
      <c r="L1330" s="8">
        <f t="shared" si="65"/>
        <v>11.974298851963056</v>
      </c>
    </row>
    <row r="1331" spans="1:12" x14ac:dyDescent="0.25">
      <c r="A1331" s="1">
        <v>1332</v>
      </c>
      <c r="B1331" s="1">
        <v>425</v>
      </c>
      <c r="C1331" s="3" t="s">
        <v>63</v>
      </c>
      <c r="D1331" s="5" t="s">
        <v>22</v>
      </c>
      <c r="E1331" s="10">
        <v>1.1200000000000001</v>
      </c>
      <c r="F1331" s="10">
        <v>11.61</v>
      </c>
      <c r="G1331" s="10">
        <v>3.31</v>
      </c>
      <c r="H1331" s="10">
        <v>2.0699999999999998</v>
      </c>
      <c r="I1331" s="8">
        <f t="shared" si="64"/>
        <v>3.3653604599999993</v>
      </c>
      <c r="K1331" s="8">
        <f t="shared" si="66"/>
        <v>3.3229661001299586</v>
      </c>
      <c r="L1331" s="8">
        <f t="shared" si="65"/>
        <v>1.6614830500649793</v>
      </c>
    </row>
    <row r="1332" spans="1:12" x14ac:dyDescent="0.25">
      <c r="A1332" s="1">
        <v>1333</v>
      </c>
      <c r="B1332" s="1">
        <v>426</v>
      </c>
      <c r="C1332" s="3" t="s">
        <v>63</v>
      </c>
      <c r="D1332" s="5" t="s">
        <v>22</v>
      </c>
      <c r="E1332" s="10">
        <v>1.28</v>
      </c>
      <c r="F1332" s="10">
        <v>7.94</v>
      </c>
      <c r="G1332" s="10">
        <v>5.51</v>
      </c>
      <c r="H1332" s="10">
        <v>1.81</v>
      </c>
      <c r="I1332" s="8">
        <f t="shared" si="64"/>
        <v>2.5730489400000001</v>
      </c>
      <c r="K1332" s="8">
        <f t="shared" si="66"/>
        <v>9.5110216406950308</v>
      </c>
      <c r="L1332" s="8">
        <f t="shared" si="65"/>
        <v>4.7555108203475154</v>
      </c>
    </row>
    <row r="1333" spans="1:12" x14ac:dyDescent="0.25">
      <c r="A1333" s="1">
        <v>1334</v>
      </c>
      <c r="B1333" s="1">
        <v>427</v>
      </c>
      <c r="C1333" s="3" t="s">
        <v>63</v>
      </c>
      <c r="D1333" s="5" t="s">
        <v>22</v>
      </c>
      <c r="E1333" s="10">
        <v>1.4</v>
      </c>
      <c r="F1333" s="10">
        <v>9.4700000000000006</v>
      </c>
      <c r="G1333" s="10">
        <v>4.5599999999999996</v>
      </c>
      <c r="H1333" s="10">
        <v>2.0699999999999998</v>
      </c>
      <c r="I1333" s="8">
        <f t="shared" si="64"/>
        <v>3.3653604599999993</v>
      </c>
      <c r="K1333" s="8">
        <f t="shared" si="66"/>
        <v>6.436278063389703</v>
      </c>
      <c r="L1333" s="8">
        <f t="shared" si="65"/>
        <v>3.2181390316948515</v>
      </c>
    </row>
    <row r="1334" spans="1:12" x14ac:dyDescent="0.25">
      <c r="A1334" s="1">
        <v>1335</v>
      </c>
      <c r="B1334" s="1">
        <v>428</v>
      </c>
      <c r="C1334" s="3" t="s">
        <v>63</v>
      </c>
      <c r="D1334" s="5" t="s">
        <v>22</v>
      </c>
      <c r="E1334" s="10">
        <v>1.75</v>
      </c>
      <c r="F1334" s="10">
        <v>7.78</v>
      </c>
      <c r="G1334" s="10">
        <v>7.38</v>
      </c>
      <c r="H1334" s="10">
        <v>1.75</v>
      </c>
      <c r="I1334" s="8">
        <f t="shared" si="64"/>
        <v>2.4052875</v>
      </c>
      <c r="K1334" s="8">
        <f t="shared" si="66"/>
        <v>17.381815998454535</v>
      </c>
      <c r="L1334" s="8">
        <f t="shared" si="65"/>
        <v>8.6909079992272673</v>
      </c>
    </row>
    <row r="1335" spans="1:12" x14ac:dyDescent="0.25">
      <c r="A1335" s="1">
        <v>1336</v>
      </c>
      <c r="B1335" s="1">
        <v>429</v>
      </c>
      <c r="C1335" s="3" t="s">
        <v>63</v>
      </c>
      <c r="D1335" s="5" t="s">
        <v>22</v>
      </c>
      <c r="E1335" s="10">
        <v>1.3</v>
      </c>
      <c r="F1335" s="10">
        <v>6.92</v>
      </c>
      <c r="G1335" s="10">
        <v>8.89</v>
      </c>
      <c r="H1335" s="10">
        <v>1.94</v>
      </c>
      <c r="I1335" s="8">
        <f t="shared" si="64"/>
        <v>2.9559314399999996</v>
      </c>
      <c r="K1335" s="8">
        <f t="shared" si="66"/>
        <v>25.52228942916258</v>
      </c>
      <c r="L1335" s="8">
        <f t="shared" si="65"/>
        <v>12.76114471458129</v>
      </c>
    </row>
    <row r="1336" spans="1:12" x14ac:dyDescent="0.25">
      <c r="A1336" s="1">
        <v>1337</v>
      </c>
      <c r="B1336" s="1">
        <v>430</v>
      </c>
      <c r="C1336" s="3" t="s">
        <v>63</v>
      </c>
      <c r="D1336" s="5" t="s">
        <v>22</v>
      </c>
      <c r="E1336" s="10">
        <v>1.48</v>
      </c>
      <c r="F1336" s="10">
        <v>11.89</v>
      </c>
      <c r="G1336" s="10">
        <v>4.54</v>
      </c>
      <c r="H1336" s="10">
        <v>1.85</v>
      </c>
      <c r="I1336" s="8">
        <f t="shared" si="64"/>
        <v>2.6880315000000001</v>
      </c>
      <c r="K1336" s="8">
        <f t="shared" si="66"/>
        <v>6.3781627668151755</v>
      </c>
      <c r="L1336" s="8">
        <f t="shared" si="65"/>
        <v>3.1890813834075877</v>
      </c>
    </row>
    <row r="1337" spans="1:12" x14ac:dyDescent="0.25">
      <c r="A1337" s="1">
        <v>1338</v>
      </c>
      <c r="B1337" s="1">
        <v>431</v>
      </c>
      <c r="C1337" s="3" t="s">
        <v>63</v>
      </c>
      <c r="D1337" s="5" t="s">
        <v>22</v>
      </c>
      <c r="E1337" s="10">
        <v>2.36</v>
      </c>
      <c r="F1337" s="10">
        <v>7.87</v>
      </c>
      <c r="G1337" s="10">
        <v>6.93</v>
      </c>
      <c r="H1337" s="10">
        <v>1.86</v>
      </c>
      <c r="I1337" s="8">
        <f t="shared" si="64"/>
        <v>2.7171698400000004</v>
      </c>
      <c r="K1337" s="8">
        <f t="shared" si="66"/>
        <v>15.265599884849191</v>
      </c>
      <c r="L1337" s="8">
        <f t="shared" si="65"/>
        <v>7.6327999424245956</v>
      </c>
    </row>
    <row r="1338" spans="1:12" x14ac:dyDescent="0.25">
      <c r="A1338" s="1">
        <v>1339</v>
      </c>
      <c r="B1338" s="1">
        <v>432</v>
      </c>
      <c r="C1338" s="3" t="s">
        <v>63</v>
      </c>
      <c r="D1338" s="5" t="s">
        <v>22</v>
      </c>
      <c r="E1338" s="10">
        <v>1.84</v>
      </c>
      <c r="F1338" s="10">
        <v>11.26</v>
      </c>
      <c r="G1338" s="10">
        <v>4.1900000000000004</v>
      </c>
      <c r="H1338" s="10">
        <v>2.04</v>
      </c>
      <c r="I1338" s="8">
        <f t="shared" si="64"/>
        <v>3.2685206399999998</v>
      </c>
      <c r="K1338" s="8">
        <f t="shared" si="66"/>
        <v>5.4050470902519381</v>
      </c>
      <c r="L1338" s="8">
        <f t="shared" si="65"/>
        <v>2.702523545125969</v>
      </c>
    </row>
    <row r="1339" spans="1:12" x14ac:dyDescent="0.25">
      <c r="A1339" s="1">
        <v>1340</v>
      </c>
      <c r="B1339" s="1">
        <v>433</v>
      </c>
      <c r="C1339" s="3" t="s">
        <v>63</v>
      </c>
      <c r="D1339" s="5" t="s">
        <v>22</v>
      </c>
      <c r="E1339" s="10">
        <v>1.71</v>
      </c>
      <c r="F1339" s="10">
        <v>6.61</v>
      </c>
      <c r="G1339" s="10">
        <v>6.39</v>
      </c>
      <c r="H1339" s="10">
        <v>1.81</v>
      </c>
      <c r="I1339" s="8">
        <f t="shared" si="64"/>
        <v>2.5730489400000001</v>
      </c>
      <c r="K1339" s="8">
        <f t="shared" si="66"/>
        <v>12.912545546421748</v>
      </c>
      <c r="L1339" s="8">
        <f t="shared" si="65"/>
        <v>6.4562727732108742</v>
      </c>
    </row>
    <row r="1340" spans="1:12" x14ac:dyDescent="0.25">
      <c r="A1340" s="1">
        <v>1341</v>
      </c>
      <c r="B1340" s="1">
        <v>434</v>
      </c>
      <c r="C1340" s="3" t="s">
        <v>63</v>
      </c>
      <c r="D1340" s="5" t="s">
        <v>22</v>
      </c>
      <c r="E1340" s="10">
        <v>1.56</v>
      </c>
      <c r="F1340" s="10">
        <v>6.49</v>
      </c>
      <c r="G1340" s="10">
        <v>5.78</v>
      </c>
      <c r="H1340" s="10">
        <v>1.78</v>
      </c>
      <c r="I1340" s="8">
        <f t="shared" si="64"/>
        <v>2.4884613600000001</v>
      </c>
      <c r="K1340" s="8">
        <f t="shared" si="66"/>
        <v>10.49781560760105</v>
      </c>
      <c r="L1340" s="8">
        <f t="shared" si="65"/>
        <v>5.2489078038005248</v>
      </c>
    </row>
    <row r="1341" spans="1:12" x14ac:dyDescent="0.25">
      <c r="A1341" s="1">
        <v>1342</v>
      </c>
      <c r="B1341" s="1">
        <v>435</v>
      </c>
      <c r="C1341" s="3" t="s">
        <v>63</v>
      </c>
      <c r="D1341" s="5" t="s">
        <v>22</v>
      </c>
      <c r="E1341" s="10">
        <v>1.17</v>
      </c>
      <c r="F1341" s="10">
        <v>5.22</v>
      </c>
      <c r="G1341" s="10">
        <v>8.83</v>
      </c>
      <c r="H1341" s="10">
        <v>2.0099999999999998</v>
      </c>
      <c r="I1341" s="8">
        <f t="shared" si="64"/>
        <v>3.1730945399999992</v>
      </c>
      <c r="K1341" s="8">
        <f t="shared" si="66"/>
        <v>25.168118925983869</v>
      </c>
      <c r="L1341" s="8">
        <f t="shared" si="65"/>
        <v>12.584059462991934</v>
      </c>
    </row>
    <row r="1342" spans="1:12" x14ac:dyDescent="0.25">
      <c r="A1342" s="1">
        <v>1343</v>
      </c>
      <c r="B1342" s="1">
        <v>436</v>
      </c>
      <c r="C1342" s="3" t="s">
        <v>63</v>
      </c>
      <c r="D1342" s="5" t="s">
        <v>22</v>
      </c>
      <c r="E1342" s="10">
        <v>1.68</v>
      </c>
      <c r="F1342" s="10">
        <v>9.56</v>
      </c>
      <c r="G1342" s="10">
        <v>6.65</v>
      </c>
      <c r="H1342" s="10">
        <v>1.91</v>
      </c>
      <c r="I1342" s="8">
        <f t="shared" si="64"/>
        <v>2.8652177399999998</v>
      </c>
      <c r="K1342" s="8">
        <f t="shared" si="66"/>
        <v>14.020171002013136</v>
      </c>
      <c r="L1342" s="8">
        <f t="shared" si="65"/>
        <v>7.0100855010065679</v>
      </c>
    </row>
    <row r="1343" spans="1:12" x14ac:dyDescent="0.25">
      <c r="A1343" s="1">
        <v>1344</v>
      </c>
      <c r="B1343" s="1">
        <v>437</v>
      </c>
      <c r="C1343" s="3" t="s">
        <v>63</v>
      </c>
      <c r="D1343" s="5" t="s">
        <v>22</v>
      </c>
      <c r="E1343" s="10">
        <v>2.23</v>
      </c>
      <c r="F1343" s="10">
        <v>7.58</v>
      </c>
      <c r="G1343" s="10">
        <v>5.0999999999999996</v>
      </c>
      <c r="H1343" s="10">
        <v>1.94</v>
      </c>
      <c r="I1343" s="8">
        <f t="shared" si="64"/>
        <v>2.9559314399999996</v>
      </c>
      <c r="K1343" s="8">
        <f t="shared" si="66"/>
        <v>8.1083391166837924</v>
      </c>
      <c r="L1343" s="8">
        <f t="shared" si="65"/>
        <v>4.0541695583418962</v>
      </c>
    </row>
    <row r="1344" spans="1:12" x14ac:dyDescent="0.25">
      <c r="A1344" s="1">
        <v>1345</v>
      </c>
      <c r="B1344" s="1">
        <v>438</v>
      </c>
      <c r="C1344" s="3" t="s">
        <v>63</v>
      </c>
      <c r="D1344" s="5" t="s">
        <v>22</v>
      </c>
      <c r="E1344" s="10">
        <v>1.95</v>
      </c>
      <c r="F1344" s="10">
        <v>11.05</v>
      </c>
      <c r="G1344" s="10">
        <v>3.68</v>
      </c>
      <c r="H1344" s="10">
        <v>1.91</v>
      </c>
      <c r="I1344" s="8">
        <f t="shared" si="64"/>
        <v>2.8652177399999998</v>
      </c>
      <c r="K1344" s="8">
        <f t="shared" si="66"/>
        <v>4.135117165147614</v>
      </c>
      <c r="L1344" s="8">
        <f t="shared" si="65"/>
        <v>2.067558582573807</v>
      </c>
    </row>
    <row r="1345" spans="1:12" x14ac:dyDescent="0.25">
      <c r="A1345" s="1">
        <v>1346</v>
      </c>
      <c r="B1345" s="1">
        <v>439</v>
      </c>
      <c r="C1345" s="3" t="s">
        <v>63</v>
      </c>
      <c r="D1345" s="5" t="s">
        <v>22</v>
      </c>
      <c r="E1345" s="10">
        <v>1.59</v>
      </c>
      <c r="F1345" s="10">
        <v>8.31</v>
      </c>
      <c r="G1345" s="10">
        <v>3.91</v>
      </c>
      <c r="H1345" s="10">
        <v>1.81</v>
      </c>
      <c r="I1345" s="8">
        <f t="shared" ref="I1345:I1408" si="67">0.7854*H1345^2</f>
        <v>2.5730489400000001</v>
      </c>
      <c r="K1345" s="8">
        <f t="shared" si="66"/>
        <v>4.6861650911010058</v>
      </c>
      <c r="L1345" s="8">
        <f t="shared" ref="L1345:L1408" si="68">K1345*0.5</f>
        <v>2.3430825455505029</v>
      </c>
    </row>
    <row r="1346" spans="1:12" x14ac:dyDescent="0.25">
      <c r="A1346" s="1">
        <v>1347</v>
      </c>
      <c r="B1346" s="1">
        <v>440</v>
      </c>
      <c r="C1346" s="3" t="s">
        <v>63</v>
      </c>
      <c r="D1346" s="5" t="s">
        <v>22</v>
      </c>
      <c r="E1346" s="10">
        <v>2.19</v>
      </c>
      <c r="F1346" s="10">
        <v>11.78</v>
      </c>
      <c r="G1346" s="10">
        <v>4.3499999999999996</v>
      </c>
      <c r="H1346" s="10">
        <v>1.76</v>
      </c>
      <c r="I1346" s="8">
        <f t="shared" si="67"/>
        <v>2.4328550399999997</v>
      </c>
      <c r="K1346" s="8">
        <f t="shared" si="66"/>
        <v>5.8396044027782068</v>
      </c>
      <c r="L1346" s="8">
        <f t="shared" si="68"/>
        <v>2.9198022013891034</v>
      </c>
    </row>
    <row r="1347" spans="1:12" x14ac:dyDescent="0.25">
      <c r="A1347" s="1">
        <v>1348</v>
      </c>
      <c r="B1347" s="1">
        <v>441</v>
      </c>
      <c r="C1347" s="3" t="s">
        <v>63</v>
      </c>
      <c r="D1347" s="5" t="s">
        <v>22</v>
      </c>
      <c r="E1347" s="10">
        <v>1.44</v>
      </c>
      <c r="F1347" s="10">
        <v>6.3</v>
      </c>
      <c r="G1347" s="10">
        <v>4.51</v>
      </c>
      <c r="H1347" s="10">
        <v>1.83</v>
      </c>
      <c r="I1347" s="8">
        <f t="shared" si="67"/>
        <v>2.6302260600000005</v>
      </c>
      <c r="K1347" s="8">
        <f t="shared" si="66"/>
        <v>6.2914991138914473</v>
      </c>
      <c r="L1347" s="8">
        <f t="shared" si="68"/>
        <v>3.1457495569457237</v>
      </c>
    </row>
    <row r="1348" spans="1:12" x14ac:dyDescent="0.25">
      <c r="A1348" s="1">
        <v>1349</v>
      </c>
      <c r="B1348" s="1">
        <v>442</v>
      </c>
      <c r="C1348" s="3" t="s">
        <v>63</v>
      </c>
      <c r="D1348" s="5" t="s">
        <v>22</v>
      </c>
      <c r="E1348" s="10">
        <v>1.43</v>
      </c>
      <c r="F1348" s="10">
        <v>11.08</v>
      </c>
      <c r="G1348" s="10">
        <v>8.1</v>
      </c>
      <c r="H1348" s="10">
        <v>2.0699999999999998</v>
      </c>
      <c r="I1348" s="8">
        <f t="shared" si="67"/>
        <v>3.3653604599999993</v>
      </c>
      <c r="K1348" s="8">
        <f t="shared" si="66"/>
        <v>21.06297353436749</v>
      </c>
      <c r="L1348" s="8">
        <f t="shared" si="68"/>
        <v>10.531486767183745</v>
      </c>
    </row>
    <row r="1349" spans="1:12" x14ac:dyDescent="0.25">
      <c r="A1349" s="1">
        <v>1350</v>
      </c>
      <c r="B1349" s="1">
        <v>443</v>
      </c>
      <c r="C1349" s="3" t="s">
        <v>63</v>
      </c>
      <c r="D1349" s="5" t="s">
        <v>22</v>
      </c>
      <c r="E1349" s="10">
        <v>1.1599999999999999</v>
      </c>
      <c r="F1349" s="10">
        <v>10.44</v>
      </c>
      <c r="G1349" s="10">
        <v>6.37</v>
      </c>
      <c r="H1349" s="10">
        <v>1.97</v>
      </c>
      <c r="I1349" s="8">
        <f t="shared" si="67"/>
        <v>3.0480588599999998</v>
      </c>
      <c r="K1349" s="8">
        <f t="shared" si="66"/>
        <v>12.829288285620837</v>
      </c>
      <c r="L1349" s="8">
        <f t="shared" si="68"/>
        <v>6.4146441428104186</v>
      </c>
    </row>
    <row r="1350" spans="1:12" x14ac:dyDescent="0.25">
      <c r="A1350" s="1">
        <v>1351</v>
      </c>
      <c r="B1350" s="1">
        <v>444</v>
      </c>
      <c r="C1350" s="3" t="s">
        <v>63</v>
      </c>
      <c r="D1350" s="5" t="s">
        <v>22</v>
      </c>
      <c r="E1350" s="10">
        <v>1.73</v>
      </c>
      <c r="F1350" s="10">
        <v>10.4</v>
      </c>
      <c r="G1350" s="10">
        <v>6.14</v>
      </c>
      <c r="H1350" s="10">
        <v>2.0699999999999998</v>
      </c>
      <c r="I1350" s="8">
        <f t="shared" si="67"/>
        <v>3.3653604599999993</v>
      </c>
      <c r="K1350" s="8">
        <f t="shared" si="66"/>
        <v>11.89176393710153</v>
      </c>
      <c r="L1350" s="8">
        <f t="shared" si="68"/>
        <v>5.9458819685507649</v>
      </c>
    </row>
    <row r="1351" spans="1:12" x14ac:dyDescent="0.25">
      <c r="A1351" s="1">
        <v>1352</v>
      </c>
      <c r="B1351" s="1">
        <v>445</v>
      </c>
      <c r="C1351" s="3" t="s">
        <v>63</v>
      </c>
      <c r="D1351" s="5" t="s">
        <v>22</v>
      </c>
      <c r="E1351" s="10">
        <v>1.22</v>
      </c>
      <c r="F1351" s="10">
        <v>10.91</v>
      </c>
      <c r="G1351" s="10">
        <v>3.69</v>
      </c>
      <c r="H1351" s="10">
        <v>1.84</v>
      </c>
      <c r="I1351" s="8">
        <f t="shared" si="67"/>
        <v>2.65905024</v>
      </c>
      <c r="K1351" s="8">
        <f t="shared" si="66"/>
        <v>4.1583376669513124</v>
      </c>
      <c r="L1351" s="8">
        <f t="shared" si="68"/>
        <v>2.0791688334756562</v>
      </c>
    </row>
    <row r="1352" spans="1:12" x14ac:dyDescent="0.25">
      <c r="A1352" s="1">
        <v>1353</v>
      </c>
      <c r="B1352" s="1">
        <v>446</v>
      </c>
      <c r="C1352" s="3" t="s">
        <v>63</v>
      </c>
      <c r="D1352" s="5" t="s">
        <v>22</v>
      </c>
      <c r="E1352" s="10">
        <v>1.42</v>
      </c>
      <c r="F1352" s="10">
        <v>10.33</v>
      </c>
      <c r="G1352" s="10">
        <v>8.16</v>
      </c>
      <c r="H1352" s="10">
        <v>1.8</v>
      </c>
      <c r="I1352" s="8">
        <f t="shared" si="67"/>
        <v>2.5446960000000001</v>
      </c>
      <c r="K1352" s="8">
        <f t="shared" si="66"/>
        <v>21.386193314870717</v>
      </c>
      <c r="L1352" s="8">
        <f t="shared" si="68"/>
        <v>10.693096657435358</v>
      </c>
    </row>
    <row r="1353" spans="1:12" x14ac:dyDescent="0.25">
      <c r="A1353" s="1">
        <v>1354</v>
      </c>
      <c r="B1353" s="1">
        <v>447</v>
      </c>
      <c r="C1353" s="3" t="s">
        <v>63</v>
      </c>
      <c r="D1353" s="5" t="s">
        <v>22</v>
      </c>
      <c r="E1353" s="10">
        <v>2.2400000000000002</v>
      </c>
      <c r="F1353" s="10">
        <v>9.3800000000000008</v>
      </c>
      <c r="G1353" s="10">
        <v>7.34</v>
      </c>
      <c r="H1353" s="10">
        <v>1.7</v>
      </c>
      <c r="I1353" s="8">
        <f t="shared" si="67"/>
        <v>2.2698059999999995</v>
      </c>
      <c r="K1353" s="8">
        <f t="shared" si="66"/>
        <v>17.187973096972023</v>
      </c>
      <c r="L1353" s="8">
        <f t="shared" si="68"/>
        <v>8.5939865484860114</v>
      </c>
    </row>
    <row r="1354" spans="1:12" x14ac:dyDescent="0.25">
      <c r="A1354" s="1">
        <v>1355</v>
      </c>
      <c r="B1354" s="1">
        <v>448</v>
      </c>
      <c r="C1354" s="3" t="s">
        <v>63</v>
      </c>
      <c r="D1354" s="5" t="s">
        <v>22</v>
      </c>
      <c r="E1354" s="10">
        <v>1.8</v>
      </c>
      <c r="F1354" s="10">
        <v>5.92</v>
      </c>
      <c r="G1354" s="10">
        <v>3.41</v>
      </c>
      <c r="H1354" s="10">
        <v>1.76</v>
      </c>
      <c r="I1354" s="8">
        <f t="shared" si="67"/>
        <v>2.4328550399999997</v>
      </c>
      <c r="K1354" s="8">
        <f t="shared" si="66"/>
        <v>3.5334545272206386</v>
      </c>
      <c r="L1354" s="8">
        <f t="shared" si="68"/>
        <v>1.7667272636103193</v>
      </c>
    </row>
    <row r="1355" spans="1:12" x14ac:dyDescent="0.25">
      <c r="A1355" s="1">
        <v>1356</v>
      </c>
      <c r="B1355" s="1">
        <v>449</v>
      </c>
      <c r="C1355" s="3" t="s">
        <v>63</v>
      </c>
      <c r="D1355" s="5" t="s">
        <v>22</v>
      </c>
      <c r="E1355" s="10">
        <v>1.53</v>
      </c>
      <c r="F1355" s="10">
        <v>5.23</v>
      </c>
      <c r="G1355" s="10">
        <v>7.25</v>
      </c>
      <c r="H1355" s="10">
        <v>1.92</v>
      </c>
      <c r="I1355" s="8">
        <f t="shared" si="67"/>
        <v>2.8952985600000001</v>
      </c>
      <c r="K1355" s="8">
        <f t="shared" si="66"/>
        <v>16.755921696910974</v>
      </c>
      <c r="L1355" s="8">
        <f t="shared" si="68"/>
        <v>8.3779608484554871</v>
      </c>
    </row>
    <row r="1356" spans="1:12" x14ac:dyDescent="0.25">
      <c r="A1356" s="1">
        <v>1357</v>
      </c>
      <c r="B1356" s="1">
        <v>450</v>
      </c>
      <c r="C1356" s="3" t="s">
        <v>63</v>
      </c>
      <c r="D1356" s="5" t="s">
        <v>22</v>
      </c>
      <c r="E1356" s="10">
        <v>2.06</v>
      </c>
      <c r="F1356" s="10">
        <v>11.45</v>
      </c>
      <c r="G1356" s="10">
        <v>6.26</v>
      </c>
      <c r="H1356" s="10">
        <v>1.76</v>
      </c>
      <c r="I1356" s="8">
        <f t="shared" si="67"/>
        <v>2.4328550399999997</v>
      </c>
      <c r="K1356" s="8">
        <f t="shared" ref="K1356:K1419" si="69">0.2811*G1356^2.0635</f>
        <v>12.376332889647447</v>
      </c>
      <c r="L1356" s="8">
        <f t="shared" si="68"/>
        <v>6.1881664448237235</v>
      </c>
    </row>
    <row r="1357" spans="1:12" x14ac:dyDescent="0.25">
      <c r="A1357" s="1">
        <v>1358</v>
      </c>
      <c r="B1357" s="1">
        <v>451</v>
      </c>
      <c r="C1357" s="3" t="s">
        <v>63</v>
      </c>
      <c r="D1357" s="5" t="s">
        <v>22</v>
      </c>
      <c r="E1357" s="10">
        <v>1.43</v>
      </c>
      <c r="F1357" s="10">
        <v>9.32</v>
      </c>
      <c r="G1357" s="10">
        <v>3.49</v>
      </c>
      <c r="H1357" s="10">
        <v>2</v>
      </c>
      <c r="I1357" s="8">
        <f t="shared" si="67"/>
        <v>3.1415999999999999</v>
      </c>
      <c r="K1357" s="8">
        <f t="shared" si="69"/>
        <v>3.7066460259814242</v>
      </c>
      <c r="L1357" s="8">
        <f t="shared" si="68"/>
        <v>1.8533230129907121</v>
      </c>
    </row>
    <row r="1358" spans="1:12" x14ac:dyDescent="0.25">
      <c r="A1358" s="1">
        <v>1359</v>
      </c>
      <c r="B1358" s="1">
        <v>452</v>
      </c>
      <c r="C1358" s="3" t="s">
        <v>63</v>
      </c>
      <c r="D1358" s="5" t="s">
        <v>22</v>
      </c>
      <c r="E1358" s="10">
        <v>1.4</v>
      </c>
      <c r="F1358" s="10">
        <v>10.58</v>
      </c>
      <c r="G1358" s="10">
        <v>5.75</v>
      </c>
      <c r="H1358" s="10">
        <v>1.71</v>
      </c>
      <c r="I1358" s="8">
        <f t="shared" si="67"/>
        <v>2.2965881399999999</v>
      </c>
      <c r="K1358" s="8">
        <f t="shared" si="69"/>
        <v>10.385692100243467</v>
      </c>
      <c r="L1358" s="8">
        <f t="shared" si="68"/>
        <v>5.1928460501217337</v>
      </c>
    </row>
    <row r="1359" spans="1:12" x14ac:dyDescent="0.25">
      <c r="A1359" s="1">
        <v>1360</v>
      </c>
      <c r="B1359" s="1">
        <v>453</v>
      </c>
      <c r="C1359" s="3" t="s">
        <v>63</v>
      </c>
      <c r="D1359" s="5" t="s">
        <v>22</v>
      </c>
      <c r="E1359" s="10">
        <v>1.67</v>
      </c>
      <c r="F1359" s="10">
        <v>8.3699999999999992</v>
      </c>
      <c r="G1359" s="10">
        <v>5.91</v>
      </c>
      <c r="H1359" s="10">
        <v>1.74</v>
      </c>
      <c r="I1359" s="8">
        <f t="shared" si="67"/>
        <v>2.37787704</v>
      </c>
      <c r="K1359" s="8">
        <f t="shared" si="69"/>
        <v>10.990858392589539</v>
      </c>
      <c r="L1359" s="8">
        <f t="shared" si="68"/>
        <v>5.4954291962947694</v>
      </c>
    </row>
    <row r="1360" spans="1:12" x14ac:dyDescent="0.25">
      <c r="A1360" s="1">
        <v>1361</v>
      </c>
      <c r="B1360" s="1">
        <v>454</v>
      </c>
      <c r="C1360" s="3" t="s">
        <v>63</v>
      </c>
      <c r="D1360" s="5" t="s">
        <v>22</v>
      </c>
      <c r="E1360" s="10">
        <v>2.12</v>
      </c>
      <c r="F1360" s="10">
        <v>5.82</v>
      </c>
      <c r="G1360" s="10">
        <v>3.99</v>
      </c>
      <c r="H1360" s="10">
        <v>1.97</v>
      </c>
      <c r="I1360" s="8">
        <f t="shared" si="67"/>
        <v>3.0480588599999998</v>
      </c>
      <c r="K1360" s="8">
        <f t="shared" si="69"/>
        <v>4.8861682330583314</v>
      </c>
      <c r="L1360" s="8">
        <f t="shared" si="68"/>
        <v>2.4430841165291657</v>
      </c>
    </row>
    <row r="1361" spans="1:12" x14ac:dyDescent="0.25">
      <c r="A1361" s="1">
        <v>1362</v>
      </c>
      <c r="B1361" s="1">
        <v>455</v>
      </c>
      <c r="C1361" s="3" t="s">
        <v>63</v>
      </c>
      <c r="D1361" s="5" t="s">
        <v>22</v>
      </c>
      <c r="E1361" s="10">
        <v>2.4</v>
      </c>
      <c r="F1361" s="10">
        <v>5.88</v>
      </c>
      <c r="G1361" s="10">
        <v>8.67</v>
      </c>
      <c r="H1361" s="10">
        <v>1.75</v>
      </c>
      <c r="I1361" s="8">
        <f t="shared" si="67"/>
        <v>2.4052875</v>
      </c>
      <c r="K1361" s="8">
        <f t="shared" si="69"/>
        <v>24.236128878855432</v>
      </c>
      <c r="L1361" s="8">
        <f t="shared" si="68"/>
        <v>12.118064439427716</v>
      </c>
    </row>
    <row r="1362" spans="1:12" x14ac:dyDescent="0.25">
      <c r="A1362" s="1">
        <v>1363</v>
      </c>
      <c r="B1362" s="1">
        <v>456</v>
      </c>
      <c r="C1362" s="3" t="s">
        <v>63</v>
      </c>
      <c r="D1362" s="5" t="s">
        <v>22</v>
      </c>
      <c r="E1362" s="10">
        <v>2.17</v>
      </c>
      <c r="F1362" s="10">
        <v>9.8000000000000007</v>
      </c>
      <c r="G1362" s="10">
        <v>8.1</v>
      </c>
      <c r="H1362" s="10">
        <v>2.04</v>
      </c>
      <c r="I1362" s="8">
        <f t="shared" si="67"/>
        <v>3.2685206399999998</v>
      </c>
      <c r="K1362" s="8">
        <f t="shared" si="69"/>
        <v>21.06297353436749</v>
      </c>
      <c r="L1362" s="8">
        <f t="shared" si="68"/>
        <v>10.531486767183745</v>
      </c>
    </row>
    <row r="1363" spans="1:12" x14ac:dyDescent="0.25">
      <c r="A1363" s="1">
        <v>1364</v>
      </c>
      <c r="B1363" s="1">
        <v>457</v>
      </c>
      <c r="C1363" s="3" t="s">
        <v>63</v>
      </c>
      <c r="D1363" s="5" t="s">
        <v>22</v>
      </c>
      <c r="E1363" s="10">
        <v>2.1800000000000002</v>
      </c>
      <c r="F1363" s="10">
        <v>8.01</v>
      </c>
      <c r="G1363" s="10">
        <v>7.01</v>
      </c>
      <c r="H1363" s="10">
        <v>1.73</v>
      </c>
      <c r="I1363" s="8">
        <f t="shared" si="67"/>
        <v>2.3506236600000001</v>
      </c>
      <c r="K1363" s="8">
        <f t="shared" si="69"/>
        <v>15.63147555112362</v>
      </c>
      <c r="L1363" s="8">
        <f t="shared" si="68"/>
        <v>7.8157377755618098</v>
      </c>
    </row>
    <row r="1364" spans="1:12" x14ac:dyDescent="0.25">
      <c r="A1364" s="1">
        <v>1365</v>
      </c>
      <c r="B1364" s="1">
        <v>458</v>
      </c>
      <c r="C1364" s="3" t="s">
        <v>63</v>
      </c>
      <c r="D1364" s="5" t="s">
        <v>22</v>
      </c>
      <c r="E1364" s="10">
        <v>2.17</v>
      </c>
      <c r="F1364" s="10">
        <v>6.4</v>
      </c>
      <c r="G1364" s="10">
        <v>5.77</v>
      </c>
      <c r="H1364" s="10">
        <v>2.0699999999999998</v>
      </c>
      <c r="I1364" s="8">
        <f t="shared" si="67"/>
        <v>3.3653604599999993</v>
      </c>
      <c r="K1364" s="8">
        <f t="shared" si="69"/>
        <v>10.460372157171879</v>
      </c>
      <c r="L1364" s="8">
        <f t="shared" si="68"/>
        <v>5.2301860785859393</v>
      </c>
    </row>
    <row r="1365" spans="1:12" x14ac:dyDescent="0.25">
      <c r="A1365" s="1">
        <v>1366</v>
      </c>
      <c r="B1365" s="1">
        <v>459</v>
      </c>
      <c r="C1365" s="3" t="s">
        <v>63</v>
      </c>
      <c r="D1365" s="5" t="s">
        <v>22</v>
      </c>
      <c r="E1365" s="10">
        <v>2.37</v>
      </c>
      <c r="F1365" s="10">
        <v>8.44</v>
      </c>
      <c r="G1365" s="10">
        <v>5.47</v>
      </c>
      <c r="H1365" s="10">
        <v>1.81</v>
      </c>
      <c r="I1365" s="8">
        <f t="shared" si="67"/>
        <v>2.5730489400000001</v>
      </c>
      <c r="K1365" s="8">
        <f t="shared" si="69"/>
        <v>9.3690960980694005</v>
      </c>
      <c r="L1365" s="8">
        <f t="shared" si="68"/>
        <v>4.6845480490347002</v>
      </c>
    </row>
    <row r="1366" spans="1:12" x14ac:dyDescent="0.25">
      <c r="A1366" s="1">
        <v>1367</v>
      </c>
      <c r="B1366" s="1">
        <v>460</v>
      </c>
      <c r="C1366" s="3" t="s">
        <v>63</v>
      </c>
      <c r="D1366" s="5" t="s">
        <v>22</v>
      </c>
      <c r="E1366" s="10">
        <v>1.2</v>
      </c>
      <c r="F1366" s="10">
        <v>5.45</v>
      </c>
      <c r="G1366" s="10">
        <v>6.91</v>
      </c>
      <c r="H1366" s="10">
        <v>1.88</v>
      </c>
      <c r="I1366" s="8">
        <f t="shared" si="67"/>
        <v>2.7759177599999996</v>
      </c>
      <c r="K1366" s="8">
        <f t="shared" si="69"/>
        <v>15.174828668281439</v>
      </c>
      <c r="L1366" s="8">
        <f t="shared" si="68"/>
        <v>7.5874143341407194</v>
      </c>
    </row>
    <row r="1367" spans="1:12" x14ac:dyDescent="0.25">
      <c r="A1367" s="1">
        <v>1368</v>
      </c>
      <c r="B1367" s="1">
        <v>461</v>
      </c>
      <c r="C1367" s="3" t="s">
        <v>63</v>
      </c>
      <c r="D1367" s="5" t="s">
        <v>22</v>
      </c>
      <c r="E1367" s="10">
        <v>1.35</v>
      </c>
      <c r="F1367" s="10">
        <v>9.07</v>
      </c>
      <c r="G1367" s="10">
        <v>6.27</v>
      </c>
      <c r="H1367" s="10">
        <v>1.84</v>
      </c>
      <c r="I1367" s="8">
        <f t="shared" si="67"/>
        <v>2.65905024</v>
      </c>
      <c r="K1367" s="8">
        <f t="shared" si="69"/>
        <v>12.417163971357926</v>
      </c>
      <c r="L1367" s="8">
        <f t="shared" si="68"/>
        <v>6.208581985678963</v>
      </c>
    </row>
    <row r="1368" spans="1:12" x14ac:dyDescent="0.25">
      <c r="A1368" s="1">
        <v>1369</v>
      </c>
      <c r="B1368" s="1">
        <v>462</v>
      </c>
      <c r="C1368" s="3" t="s">
        <v>63</v>
      </c>
      <c r="D1368" s="5" t="s">
        <v>22</v>
      </c>
      <c r="E1368" s="10">
        <v>2.1</v>
      </c>
      <c r="F1368" s="10">
        <v>6.88</v>
      </c>
      <c r="G1368" s="10">
        <v>3.37</v>
      </c>
      <c r="H1368" s="10">
        <v>2.02</v>
      </c>
      <c r="I1368" s="8">
        <f t="shared" si="67"/>
        <v>3.20474616</v>
      </c>
      <c r="K1368" s="8">
        <f t="shared" si="69"/>
        <v>3.4484596287737599</v>
      </c>
      <c r="L1368" s="8">
        <f t="shared" si="68"/>
        <v>1.7242298143868799</v>
      </c>
    </row>
    <row r="1369" spans="1:12" x14ac:dyDescent="0.25">
      <c r="A1369" s="1">
        <v>1370</v>
      </c>
      <c r="B1369" s="1">
        <v>463</v>
      </c>
      <c r="C1369" s="3" t="s">
        <v>63</v>
      </c>
      <c r="D1369" s="5" t="s">
        <v>22</v>
      </c>
      <c r="E1369" s="10">
        <v>1.71</v>
      </c>
      <c r="F1369" s="10">
        <v>10.58</v>
      </c>
      <c r="G1369" s="10">
        <v>6.08</v>
      </c>
      <c r="H1369" s="10">
        <v>1.68</v>
      </c>
      <c r="I1369" s="8">
        <f t="shared" si="67"/>
        <v>2.2167129599999997</v>
      </c>
      <c r="K1369" s="8">
        <f t="shared" si="69"/>
        <v>11.653218280097111</v>
      </c>
      <c r="L1369" s="8">
        <f t="shared" si="68"/>
        <v>5.8266091400485553</v>
      </c>
    </row>
    <row r="1370" spans="1:12" x14ac:dyDescent="0.25">
      <c r="A1370" s="1">
        <v>1371</v>
      </c>
      <c r="B1370" s="1">
        <v>464</v>
      </c>
      <c r="C1370" s="3" t="s">
        <v>63</v>
      </c>
      <c r="D1370" s="5" t="s">
        <v>22</v>
      </c>
      <c r="E1370" s="10">
        <v>2.2000000000000002</v>
      </c>
      <c r="F1370" s="10">
        <v>7.17</v>
      </c>
      <c r="G1370" s="10">
        <v>7.84</v>
      </c>
      <c r="H1370" s="10">
        <v>2.09</v>
      </c>
      <c r="I1370" s="8">
        <f t="shared" si="67"/>
        <v>3.4307057399999992</v>
      </c>
      <c r="K1370" s="8">
        <f t="shared" si="69"/>
        <v>19.691646959889159</v>
      </c>
      <c r="L1370" s="8">
        <f t="shared" si="68"/>
        <v>9.8458234799445794</v>
      </c>
    </row>
    <row r="1371" spans="1:12" x14ac:dyDescent="0.25">
      <c r="A1371" s="1">
        <v>1372</v>
      </c>
      <c r="B1371" s="1">
        <v>465</v>
      </c>
      <c r="C1371" s="3" t="s">
        <v>63</v>
      </c>
      <c r="D1371" s="5" t="s">
        <v>22</v>
      </c>
      <c r="E1371" s="10">
        <v>2.04</v>
      </c>
      <c r="F1371" s="10">
        <v>8.19</v>
      </c>
      <c r="G1371" s="10">
        <v>5.76</v>
      </c>
      <c r="H1371" s="10">
        <v>1.93</v>
      </c>
      <c r="I1371" s="8">
        <f t="shared" si="67"/>
        <v>2.92553646</v>
      </c>
      <c r="K1371" s="8">
        <f t="shared" si="69"/>
        <v>10.422997657250791</v>
      </c>
      <c r="L1371" s="8">
        <f t="shared" si="68"/>
        <v>5.2114988286253956</v>
      </c>
    </row>
    <row r="1372" spans="1:12" x14ac:dyDescent="0.25">
      <c r="A1372" s="1">
        <v>1373</v>
      </c>
      <c r="B1372" s="1">
        <v>466</v>
      </c>
      <c r="C1372" s="3" t="s">
        <v>63</v>
      </c>
      <c r="D1372" s="5" t="s">
        <v>22</v>
      </c>
      <c r="E1372" s="10">
        <v>1.1399999999999999</v>
      </c>
      <c r="F1372" s="10">
        <v>5.08</v>
      </c>
      <c r="G1372" s="10">
        <v>3.31</v>
      </c>
      <c r="H1372" s="10">
        <v>1.67</v>
      </c>
      <c r="I1372" s="8">
        <f t="shared" si="67"/>
        <v>2.1904020599999998</v>
      </c>
      <c r="K1372" s="8">
        <f t="shared" si="69"/>
        <v>3.3229661001299586</v>
      </c>
      <c r="L1372" s="8">
        <f t="shared" si="68"/>
        <v>1.6614830500649793</v>
      </c>
    </row>
    <row r="1373" spans="1:12" x14ac:dyDescent="0.25">
      <c r="A1373" s="1">
        <v>1374</v>
      </c>
      <c r="B1373" s="1">
        <v>467</v>
      </c>
      <c r="C1373" s="3" t="s">
        <v>63</v>
      </c>
      <c r="D1373" s="5" t="s">
        <v>22</v>
      </c>
      <c r="E1373" s="10">
        <v>1.99</v>
      </c>
      <c r="F1373" s="10">
        <v>5.51</v>
      </c>
      <c r="G1373" s="10">
        <v>7.72</v>
      </c>
      <c r="H1373" s="10">
        <v>1.85</v>
      </c>
      <c r="I1373" s="8">
        <f t="shared" si="67"/>
        <v>2.6880315000000001</v>
      </c>
      <c r="K1373" s="8">
        <f t="shared" si="69"/>
        <v>19.074762745662724</v>
      </c>
      <c r="L1373" s="8">
        <f t="shared" si="68"/>
        <v>9.5373813728313621</v>
      </c>
    </row>
    <row r="1374" spans="1:12" x14ac:dyDescent="0.25">
      <c r="A1374" s="1">
        <v>1375</v>
      </c>
      <c r="B1374" s="1">
        <v>468</v>
      </c>
      <c r="C1374" s="3" t="s">
        <v>63</v>
      </c>
      <c r="D1374" s="5" t="s">
        <v>22</v>
      </c>
      <c r="E1374" s="10">
        <v>1.93</v>
      </c>
      <c r="F1374" s="10">
        <v>7.75</v>
      </c>
      <c r="G1374" s="10">
        <v>4.21</v>
      </c>
      <c r="H1374" s="10">
        <v>1.87</v>
      </c>
      <c r="I1374" s="8">
        <f t="shared" si="67"/>
        <v>2.7464652600000004</v>
      </c>
      <c r="K1374" s="8">
        <f t="shared" si="69"/>
        <v>5.4584200101404718</v>
      </c>
      <c r="L1374" s="8">
        <f t="shared" si="68"/>
        <v>2.7292100050702359</v>
      </c>
    </row>
    <row r="1375" spans="1:12" x14ac:dyDescent="0.25">
      <c r="A1375" s="1">
        <v>1376</v>
      </c>
      <c r="B1375" s="1">
        <v>469</v>
      </c>
      <c r="C1375" s="3" t="s">
        <v>63</v>
      </c>
      <c r="D1375" s="5" t="s">
        <v>22</v>
      </c>
      <c r="E1375" s="10">
        <v>2.29</v>
      </c>
      <c r="F1375" s="10">
        <v>8.36</v>
      </c>
      <c r="G1375" s="10">
        <v>4.55</v>
      </c>
      <c r="H1375" s="10">
        <v>1.67</v>
      </c>
      <c r="I1375" s="8">
        <f t="shared" si="67"/>
        <v>2.1904020599999998</v>
      </c>
      <c r="K1375" s="8">
        <f t="shared" si="69"/>
        <v>6.407186455974383</v>
      </c>
      <c r="L1375" s="8">
        <f t="shared" si="68"/>
        <v>3.2035932279871915</v>
      </c>
    </row>
    <row r="1376" spans="1:12" x14ac:dyDescent="0.25">
      <c r="A1376" s="1">
        <v>1377</v>
      </c>
      <c r="B1376" s="1">
        <v>470</v>
      </c>
      <c r="C1376" s="3" t="s">
        <v>63</v>
      </c>
      <c r="D1376" s="5" t="s">
        <v>22</v>
      </c>
      <c r="E1376" s="10">
        <v>2.2999999999999998</v>
      </c>
      <c r="F1376" s="10">
        <v>9.1999999999999993</v>
      </c>
      <c r="G1376" s="10">
        <v>3.99</v>
      </c>
      <c r="H1376" s="10">
        <v>1.84</v>
      </c>
      <c r="I1376" s="8">
        <f t="shared" si="67"/>
        <v>2.65905024</v>
      </c>
      <c r="K1376" s="8">
        <f t="shared" si="69"/>
        <v>4.8861682330583314</v>
      </c>
      <c r="L1376" s="8">
        <f t="shared" si="68"/>
        <v>2.4430841165291657</v>
      </c>
    </row>
    <row r="1377" spans="1:12" x14ac:dyDescent="0.25">
      <c r="A1377" s="1">
        <v>1378</v>
      </c>
      <c r="B1377" s="1">
        <v>471</v>
      </c>
      <c r="C1377" s="3" t="s">
        <v>63</v>
      </c>
      <c r="D1377" s="5" t="s">
        <v>22</v>
      </c>
      <c r="E1377" s="10">
        <v>1.66</v>
      </c>
      <c r="F1377" s="10">
        <v>7.04</v>
      </c>
      <c r="G1377" s="10">
        <v>4.9800000000000004</v>
      </c>
      <c r="H1377" s="10">
        <v>1.87</v>
      </c>
      <c r="I1377" s="8">
        <f t="shared" si="67"/>
        <v>2.7464652600000004</v>
      </c>
      <c r="K1377" s="8">
        <f t="shared" si="69"/>
        <v>7.7195786156682686</v>
      </c>
      <c r="L1377" s="8">
        <f t="shared" si="68"/>
        <v>3.8597893078341343</v>
      </c>
    </row>
    <row r="1378" spans="1:12" x14ac:dyDescent="0.25">
      <c r="A1378" s="1">
        <v>1379</v>
      </c>
      <c r="B1378" s="1">
        <v>472</v>
      </c>
      <c r="C1378" s="3" t="s">
        <v>63</v>
      </c>
      <c r="D1378" s="5" t="s">
        <v>22</v>
      </c>
      <c r="E1378" s="10">
        <v>1.61</v>
      </c>
      <c r="F1378" s="10">
        <v>9.86</v>
      </c>
      <c r="G1378" s="10">
        <v>7.54</v>
      </c>
      <c r="H1378" s="10">
        <v>2.06</v>
      </c>
      <c r="I1378" s="8">
        <f t="shared" si="67"/>
        <v>3.3329234399999996</v>
      </c>
      <c r="K1378" s="8">
        <f t="shared" si="69"/>
        <v>18.168397279004878</v>
      </c>
      <c r="L1378" s="8">
        <f t="shared" si="68"/>
        <v>9.0841986395024392</v>
      </c>
    </row>
    <row r="1379" spans="1:12" x14ac:dyDescent="0.25">
      <c r="A1379" s="1">
        <v>1380</v>
      </c>
      <c r="B1379" s="1">
        <v>473</v>
      </c>
      <c r="C1379" s="3" t="s">
        <v>63</v>
      </c>
      <c r="D1379" s="5" t="s">
        <v>22</v>
      </c>
      <c r="E1379" s="10">
        <v>2</v>
      </c>
      <c r="F1379" s="10">
        <v>11.02</v>
      </c>
      <c r="G1379" s="10">
        <v>6.12</v>
      </c>
      <c r="H1379" s="10">
        <v>2.0299999999999998</v>
      </c>
      <c r="I1379" s="8">
        <f t="shared" si="67"/>
        <v>3.2365548599999991</v>
      </c>
      <c r="K1379" s="8">
        <f t="shared" si="69"/>
        <v>11.811971901960023</v>
      </c>
      <c r="L1379" s="8">
        <f t="shared" si="68"/>
        <v>5.9059859509800114</v>
      </c>
    </row>
    <row r="1380" spans="1:12" x14ac:dyDescent="0.25">
      <c r="A1380" s="1">
        <v>1381</v>
      </c>
      <c r="B1380" s="1">
        <v>474</v>
      </c>
      <c r="C1380" s="3" t="s">
        <v>63</v>
      </c>
      <c r="D1380" s="5" t="s">
        <v>22</v>
      </c>
      <c r="E1380" s="10">
        <v>1.4</v>
      </c>
      <c r="F1380" s="10">
        <v>10.46</v>
      </c>
      <c r="G1380" s="10">
        <v>4.2300000000000004</v>
      </c>
      <c r="H1380" s="10">
        <v>2.1</v>
      </c>
      <c r="I1380" s="8">
        <f t="shared" si="67"/>
        <v>3.4636140000000002</v>
      </c>
      <c r="K1380" s="8">
        <f t="shared" si="69"/>
        <v>5.5120632665178961</v>
      </c>
      <c r="L1380" s="8">
        <f t="shared" si="68"/>
        <v>2.7560316332589481</v>
      </c>
    </row>
    <row r="1381" spans="1:12" x14ac:dyDescent="0.25">
      <c r="A1381" s="1">
        <v>1382</v>
      </c>
      <c r="B1381" s="1">
        <v>475</v>
      </c>
      <c r="C1381" s="3" t="s">
        <v>63</v>
      </c>
      <c r="D1381" s="5" t="s">
        <v>22</v>
      </c>
      <c r="E1381" s="10">
        <v>1.22</v>
      </c>
      <c r="F1381" s="10">
        <v>5.28</v>
      </c>
      <c r="G1381" s="10">
        <v>8.27</v>
      </c>
      <c r="H1381" s="10">
        <v>2.02</v>
      </c>
      <c r="I1381" s="8">
        <f t="shared" si="67"/>
        <v>3.20474616</v>
      </c>
      <c r="K1381" s="8">
        <f t="shared" si="69"/>
        <v>21.985354086501786</v>
      </c>
      <c r="L1381" s="8">
        <f t="shared" si="68"/>
        <v>10.992677043250893</v>
      </c>
    </row>
    <row r="1382" spans="1:12" x14ac:dyDescent="0.25">
      <c r="A1382" s="1">
        <v>1383</v>
      </c>
      <c r="B1382" s="1">
        <v>476</v>
      </c>
      <c r="C1382" s="3" t="s">
        <v>63</v>
      </c>
      <c r="D1382" s="5" t="s">
        <v>22</v>
      </c>
      <c r="E1382" s="10">
        <v>1.74</v>
      </c>
      <c r="F1382" s="10">
        <v>8.36</v>
      </c>
      <c r="G1382" s="10">
        <v>8.2799999999999994</v>
      </c>
      <c r="H1382" s="10">
        <v>1.72</v>
      </c>
      <c r="I1382" s="8">
        <f t="shared" si="67"/>
        <v>2.3235273599999999</v>
      </c>
      <c r="K1382" s="8">
        <f t="shared" si="69"/>
        <v>22.040246407104949</v>
      </c>
      <c r="L1382" s="8">
        <f t="shared" si="68"/>
        <v>11.020123203552474</v>
      </c>
    </row>
    <row r="1383" spans="1:12" x14ac:dyDescent="0.25">
      <c r="A1383" s="1">
        <v>1384</v>
      </c>
      <c r="B1383" s="1">
        <v>477</v>
      </c>
      <c r="C1383" s="3" t="s">
        <v>63</v>
      </c>
      <c r="D1383" s="5" t="s">
        <v>22</v>
      </c>
      <c r="E1383" s="10">
        <v>1.3</v>
      </c>
      <c r="F1383" s="10">
        <v>5.73</v>
      </c>
      <c r="G1383" s="10">
        <v>8.2200000000000006</v>
      </c>
      <c r="H1383" s="10">
        <v>1.87</v>
      </c>
      <c r="I1383" s="8">
        <f t="shared" si="67"/>
        <v>2.7464652600000004</v>
      </c>
      <c r="K1383" s="8">
        <f t="shared" si="69"/>
        <v>21.711950545544767</v>
      </c>
      <c r="L1383" s="8">
        <f t="shared" si="68"/>
        <v>10.855975272772383</v>
      </c>
    </row>
    <row r="1384" spans="1:12" x14ac:dyDescent="0.25">
      <c r="A1384" s="1">
        <v>1385</v>
      </c>
      <c r="B1384" s="1">
        <v>478</v>
      </c>
      <c r="C1384" s="3" t="s">
        <v>63</v>
      </c>
      <c r="D1384" s="5" t="s">
        <v>22</v>
      </c>
      <c r="E1384" s="10">
        <v>2.38</v>
      </c>
      <c r="F1384" s="10">
        <v>6.69</v>
      </c>
      <c r="G1384" s="10">
        <v>4.43</v>
      </c>
      <c r="H1384" s="10">
        <v>1.99</v>
      </c>
      <c r="I1384" s="8">
        <f t="shared" si="67"/>
        <v>3.1102625399999999</v>
      </c>
      <c r="K1384" s="8">
        <f t="shared" si="69"/>
        <v>6.0633820631454229</v>
      </c>
      <c r="L1384" s="8">
        <f t="shared" si="68"/>
        <v>3.0316910315727115</v>
      </c>
    </row>
    <row r="1385" spans="1:12" x14ac:dyDescent="0.25">
      <c r="A1385" s="1">
        <v>1386</v>
      </c>
      <c r="B1385" s="1">
        <v>479</v>
      </c>
      <c r="C1385" s="3" t="s">
        <v>63</v>
      </c>
      <c r="D1385" s="5" t="s">
        <v>22</v>
      </c>
      <c r="E1385" s="10">
        <v>2.06</v>
      </c>
      <c r="F1385" s="10">
        <v>11.91</v>
      </c>
      <c r="G1385" s="10">
        <v>5.71</v>
      </c>
      <c r="H1385" s="10">
        <v>1.77</v>
      </c>
      <c r="I1385" s="8">
        <f t="shared" si="67"/>
        <v>2.4605796600000001</v>
      </c>
      <c r="K1385" s="8">
        <f t="shared" si="69"/>
        <v>10.237159149032308</v>
      </c>
      <c r="L1385" s="8">
        <f t="shared" si="68"/>
        <v>5.1185795745161542</v>
      </c>
    </row>
    <row r="1386" spans="1:12" x14ac:dyDescent="0.25">
      <c r="A1386" s="1">
        <v>1387</v>
      </c>
      <c r="B1386" s="1">
        <v>480</v>
      </c>
      <c r="C1386" s="3" t="s">
        <v>63</v>
      </c>
      <c r="D1386" s="5" t="s">
        <v>22</v>
      </c>
      <c r="E1386" s="10">
        <v>1.54</v>
      </c>
      <c r="F1386" s="10">
        <v>6</v>
      </c>
      <c r="G1386" s="10">
        <v>8.91</v>
      </c>
      <c r="H1386" s="10">
        <v>1.84</v>
      </c>
      <c r="I1386" s="8">
        <f t="shared" si="67"/>
        <v>2.65905024</v>
      </c>
      <c r="K1386" s="8">
        <f t="shared" si="69"/>
        <v>25.640913163770968</v>
      </c>
      <c r="L1386" s="8">
        <f t="shared" si="68"/>
        <v>12.820456581885484</v>
      </c>
    </row>
    <row r="1387" spans="1:12" x14ac:dyDescent="0.25">
      <c r="A1387" s="1">
        <v>1388</v>
      </c>
      <c r="B1387" s="1">
        <v>481</v>
      </c>
      <c r="C1387" s="3" t="s">
        <v>63</v>
      </c>
      <c r="D1387" s="5" t="s">
        <v>22</v>
      </c>
      <c r="E1387" s="10">
        <v>2.36</v>
      </c>
      <c r="F1387" s="10">
        <v>8.49</v>
      </c>
      <c r="G1387" s="10">
        <v>7.63</v>
      </c>
      <c r="H1387" s="10">
        <v>1.7</v>
      </c>
      <c r="I1387" s="8">
        <f t="shared" si="67"/>
        <v>2.2698059999999995</v>
      </c>
      <c r="K1387" s="8">
        <f t="shared" si="69"/>
        <v>18.618737529536752</v>
      </c>
      <c r="L1387" s="8">
        <f t="shared" si="68"/>
        <v>9.3093687647683758</v>
      </c>
    </row>
    <row r="1388" spans="1:12" x14ac:dyDescent="0.25">
      <c r="A1388" s="1">
        <v>1389</v>
      </c>
      <c r="B1388" s="1">
        <v>482</v>
      </c>
      <c r="C1388" s="3" t="s">
        <v>63</v>
      </c>
      <c r="D1388" s="5" t="s">
        <v>22</v>
      </c>
      <c r="E1388" s="10">
        <v>1.24</v>
      </c>
      <c r="F1388" s="10">
        <v>9.33</v>
      </c>
      <c r="G1388" s="10">
        <v>3.16</v>
      </c>
      <c r="H1388" s="10">
        <v>1.87</v>
      </c>
      <c r="I1388" s="8">
        <f t="shared" si="67"/>
        <v>2.7464652600000004</v>
      </c>
      <c r="K1388" s="8">
        <f t="shared" si="69"/>
        <v>3.0197093284003911</v>
      </c>
      <c r="L1388" s="8">
        <f t="shared" si="68"/>
        <v>1.5098546642001955</v>
      </c>
    </row>
    <row r="1389" spans="1:12" x14ac:dyDescent="0.25">
      <c r="A1389" s="1">
        <v>1390</v>
      </c>
      <c r="B1389" s="1">
        <v>483</v>
      </c>
      <c r="C1389" s="3" t="s">
        <v>63</v>
      </c>
      <c r="D1389" s="5" t="s">
        <v>22</v>
      </c>
      <c r="E1389" s="10">
        <v>1.5</v>
      </c>
      <c r="F1389" s="10">
        <v>9.92</v>
      </c>
      <c r="G1389" s="10">
        <v>3.39</v>
      </c>
      <c r="H1389" s="10">
        <v>1.78</v>
      </c>
      <c r="I1389" s="8">
        <f t="shared" si="67"/>
        <v>2.4884613600000001</v>
      </c>
      <c r="K1389" s="8">
        <f t="shared" si="69"/>
        <v>3.4908237564286249</v>
      </c>
      <c r="L1389" s="8">
        <f t="shared" si="68"/>
        <v>1.7454118782143124</v>
      </c>
    </row>
    <row r="1390" spans="1:12" x14ac:dyDescent="0.25">
      <c r="A1390" s="1">
        <v>1391</v>
      </c>
      <c r="B1390" s="1">
        <v>484</v>
      </c>
      <c r="C1390" s="3" t="s">
        <v>63</v>
      </c>
      <c r="D1390" s="5" t="s">
        <v>22</v>
      </c>
      <c r="E1390" s="10">
        <v>2.27</v>
      </c>
      <c r="F1390" s="10">
        <v>8.92</v>
      </c>
      <c r="G1390" s="10">
        <v>5.78</v>
      </c>
      <c r="H1390" s="10">
        <v>1.68</v>
      </c>
      <c r="I1390" s="8">
        <f t="shared" si="67"/>
        <v>2.2167129599999997</v>
      </c>
      <c r="K1390" s="8">
        <f t="shared" si="69"/>
        <v>10.49781560760105</v>
      </c>
      <c r="L1390" s="8">
        <f t="shared" si="68"/>
        <v>5.2489078038005248</v>
      </c>
    </row>
    <row r="1391" spans="1:12" x14ac:dyDescent="0.25">
      <c r="A1391" s="1">
        <v>1392</v>
      </c>
      <c r="B1391" s="1">
        <v>485</v>
      </c>
      <c r="C1391" s="3" t="s">
        <v>63</v>
      </c>
      <c r="D1391" s="5" t="s">
        <v>22</v>
      </c>
      <c r="E1391" s="10">
        <v>1.77</v>
      </c>
      <c r="F1391" s="10">
        <v>5.07</v>
      </c>
      <c r="G1391" s="10">
        <v>8.4600000000000009</v>
      </c>
      <c r="H1391" s="10">
        <v>2.0699999999999998</v>
      </c>
      <c r="I1391" s="8">
        <f t="shared" si="67"/>
        <v>3.3653604599999993</v>
      </c>
      <c r="K1391" s="8">
        <f t="shared" si="69"/>
        <v>23.040377464271003</v>
      </c>
      <c r="L1391" s="8">
        <f t="shared" si="68"/>
        <v>11.520188732135502</v>
      </c>
    </row>
    <row r="1392" spans="1:12" x14ac:dyDescent="0.25">
      <c r="A1392" s="1">
        <v>1393</v>
      </c>
      <c r="B1392" s="1">
        <v>486</v>
      </c>
      <c r="C1392" s="3" t="s">
        <v>63</v>
      </c>
      <c r="D1392" s="5" t="s">
        <v>22</v>
      </c>
      <c r="E1392" s="10">
        <v>2.35</v>
      </c>
      <c r="F1392" s="10">
        <v>7.29</v>
      </c>
      <c r="G1392" s="10">
        <v>6.23</v>
      </c>
      <c r="H1392" s="10">
        <v>1.95</v>
      </c>
      <c r="I1392" s="8">
        <f t="shared" si="67"/>
        <v>2.9864834999999998</v>
      </c>
      <c r="K1392" s="8">
        <f t="shared" si="69"/>
        <v>12.254255466192342</v>
      </c>
      <c r="L1392" s="8">
        <f t="shared" si="68"/>
        <v>6.1271277330961711</v>
      </c>
    </row>
    <row r="1393" spans="1:12" x14ac:dyDescent="0.25">
      <c r="A1393" s="1">
        <v>1394</v>
      </c>
      <c r="B1393" s="1">
        <v>487</v>
      </c>
      <c r="C1393" s="3" t="s">
        <v>63</v>
      </c>
      <c r="D1393" s="5" t="s">
        <v>22</v>
      </c>
      <c r="E1393" s="10">
        <v>2.21</v>
      </c>
      <c r="F1393" s="10">
        <v>8.6199999999999992</v>
      </c>
      <c r="G1393" s="10">
        <v>5.99</v>
      </c>
      <c r="H1393" s="10">
        <v>1.96</v>
      </c>
      <c r="I1393" s="8">
        <f t="shared" si="67"/>
        <v>3.0171926399999998</v>
      </c>
      <c r="K1393" s="8">
        <f t="shared" si="69"/>
        <v>11.300068954356874</v>
      </c>
      <c r="L1393" s="8">
        <f t="shared" si="68"/>
        <v>5.650034477178437</v>
      </c>
    </row>
    <row r="1394" spans="1:12" x14ac:dyDescent="0.25">
      <c r="A1394" s="1">
        <v>1395</v>
      </c>
      <c r="B1394" s="1">
        <v>488</v>
      </c>
      <c r="C1394" s="3" t="s">
        <v>63</v>
      </c>
      <c r="D1394" s="5" t="s">
        <v>22</v>
      </c>
      <c r="E1394" s="10">
        <v>2.37</v>
      </c>
      <c r="F1394" s="10">
        <v>5.62</v>
      </c>
      <c r="G1394" s="10">
        <v>3.63</v>
      </c>
      <c r="H1394" s="10">
        <v>1.82</v>
      </c>
      <c r="I1394" s="8">
        <f t="shared" si="67"/>
        <v>2.6015589600000002</v>
      </c>
      <c r="K1394" s="8">
        <f t="shared" si="69"/>
        <v>4.0200195614420116</v>
      </c>
      <c r="L1394" s="8">
        <f t="shared" si="68"/>
        <v>2.0100097807210058</v>
      </c>
    </row>
    <row r="1395" spans="1:12" x14ac:dyDescent="0.25">
      <c r="A1395" s="1">
        <v>1396</v>
      </c>
      <c r="B1395" s="1">
        <v>489</v>
      </c>
      <c r="C1395" s="3" t="s">
        <v>63</v>
      </c>
      <c r="D1395" s="5" t="s">
        <v>22</v>
      </c>
      <c r="E1395" s="10">
        <v>1.52</v>
      </c>
      <c r="F1395" s="10">
        <v>7.45</v>
      </c>
      <c r="G1395" s="10">
        <v>6.94</v>
      </c>
      <c r="H1395" s="10">
        <v>1.91</v>
      </c>
      <c r="I1395" s="8">
        <f t="shared" si="67"/>
        <v>2.8652177399999998</v>
      </c>
      <c r="K1395" s="8">
        <f t="shared" si="69"/>
        <v>15.311090125814209</v>
      </c>
      <c r="L1395" s="8">
        <f t="shared" si="68"/>
        <v>7.6555450629071045</v>
      </c>
    </row>
    <row r="1396" spans="1:12" x14ac:dyDescent="0.25">
      <c r="A1396" s="1">
        <v>1397</v>
      </c>
      <c r="B1396" s="1">
        <v>490</v>
      </c>
      <c r="C1396" s="3" t="s">
        <v>63</v>
      </c>
      <c r="D1396" s="5" t="s">
        <v>22</v>
      </c>
      <c r="E1396" s="10">
        <v>1.58</v>
      </c>
      <c r="F1396" s="10">
        <v>5.23</v>
      </c>
      <c r="G1396" s="10">
        <v>7.93</v>
      </c>
      <c r="H1396" s="10">
        <v>1.71</v>
      </c>
      <c r="I1396" s="8">
        <f t="shared" si="67"/>
        <v>2.2965881399999999</v>
      </c>
      <c r="K1396" s="8">
        <f t="shared" si="69"/>
        <v>20.160953485398025</v>
      </c>
      <c r="L1396" s="8">
        <f t="shared" si="68"/>
        <v>10.080476742699013</v>
      </c>
    </row>
    <row r="1397" spans="1:12" x14ac:dyDescent="0.25">
      <c r="A1397" s="1">
        <v>1398</v>
      </c>
      <c r="B1397" s="1">
        <v>491</v>
      </c>
      <c r="C1397" s="3" t="s">
        <v>63</v>
      </c>
      <c r="D1397" s="5" t="s">
        <v>22</v>
      </c>
      <c r="E1397" s="10">
        <v>1.62</v>
      </c>
      <c r="F1397" s="10">
        <v>5.55</v>
      </c>
      <c r="G1397" s="10">
        <v>5.28</v>
      </c>
      <c r="H1397" s="10">
        <v>1.96</v>
      </c>
      <c r="I1397" s="8">
        <f t="shared" si="67"/>
        <v>3.0171926399999998</v>
      </c>
      <c r="K1397" s="8">
        <f t="shared" si="69"/>
        <v>8.709955672374095</v>
      </c>
      <c r="L1397" s="8">
        <f t="shared" si="68"/>
        <v>4.3549778361870475</v>
      </c>
    </row>
    <row r="1398" spans="1:12" x14ac:dyDescent="0.25">
      <c r="A1398" s="1">
        <v>1399</v>
      </c>
      <c r="B1398" s="1">
        <v>492</v>
      </c>
      <c r="C1398" s="3" t="s">
        <v>63</v>
      </c>
      <c r="D1398" s="5" t="s">
        <v>22</v>
      </c>
      <c r="E1398" s="10">
        <v>1.59</v>
      </c>
      <c r="F1398" s="10">
        <v>7.78</v>
      </c>
      <c r="G1398" s="10">
        <v>7.65</v>
      </c>
      <c r="H1398" s="10">
        <v>1.85</v>
      </c>
      <c r="I1398" s="8">
        <f t="shared" si="67"/>
        <v>2.6880315000000001</v>
      </c>
      <c r="K1398" s="8">
        <f t="shared" si="69"/>
        <v>18.71958502329996</v>
      </c>
      <c r="L1398" s="8">
        <f t="shared" si="68"/>
        <v>9.3597925116499798</v>
      </c>
    </row>
    <row r="1399" spans="1:12" x14ac:dyDescent="0.25">
      <c r="A1399" s="1">
        <v>1400</v>
      </c>
      <c r="B1399" s="1">
        <v>493</v>
      </c>
      <c r="C1399" s="3" t="s">
        <v>63</v>
      </c>
      <c r="D1399" s="5" t="s">
        <v>22</v>
      </c>
      <c r="E1399" s="10">
        <v>1.96</v>
      </c>
      <c r="F1399" s="10">
        <v>5.93</v>
      </c>
      <c r="G1399" s="10">
        <v>8.7899999999999991</v>
      </c>
      <c r="H1399" s="10">
        <v>1.8</v>
      </c>
      <c r="I1399" s="8">
        <f t="shared" si="67"/>
        <v>2.5446960000000001</v>
      </c>
      <c r="K1399" s="8">
        <f t="shared" si="69"/>
        <v>24.933422101268413</v>
      </c>
      <c r="L1399" s="8">
        <f t="shared" si="68"/>
        <v>12.466711050634206</v>
      </c>
    </row>
    <row r="1400" spans="1:12" x14ac:dyDescent="0.25">
      <c r="A1400" s="1">
        <v>1401</v>
      </c>
      <c r="B1400" s="1">
        <v>494</v>
      </c>
      <c r="C1400" s="3" t="s">
        <v>63</v>
      </c>
      <c r="D1400" s="5" t="s">
        <v>22</v>
      </c>
      <c r="E1400" s="10">
        <v>1.84</v>
      </c>
      <c r="F1400" s="10">
        <v>8.9700000000000006</v>
      </c>
      <c r="G1400" s="10">
        <v>4.22</v>
      </c>
      <c r="H1400" s="10">
        <v>1.72</v>
      </c>
      <c r="I1400" s="8">
        <f t="shared" si="67"/>
        <v>2.3235273599999999</v>
      </c>
      <c r="K1400" s="8">
        <f t="shared" si="69"/>
        <v>5.4852078411739926</v>
      </c>
      <c r="L1400" s="8">
        <f t="shared" si="68"/>
        <v>2.7426039205869963</v>
      </c>
    </row>
    <row r="1401" spans="1:12" x14ac:dyDescent="0.25">
      <c r="A1401" s="1">
        <v>1402</v>
      </c>
      <c r="B1401" s="1">
        <v>495</v>
      </c>
      <c r="C1401" s="3" t="s">
        <v>63</v>
      </c>
      <c r="D1401" s="5" t="s">
        <v>22</v>
      </c>
      <c r="E1401" s="10">
        <v>1.68</v>
      </c>
      <c r="F1401" s="10">
        <v>9.83</v>
      </c>
      <c r="G1401" s="10">
        <v>6.14</v>
      </c>
      <c r="H1401" s="10">
        <v>1.84</v>
      </c>
      <c r="I1401" s="8">
        <f t="shared" si="67"/>
        <v>2.65905024</v>
      </c>
      <c r="K1401" s="8">
        <f t="shared" si="69"/>
        <v>11.89176393710153</v>
      </c>
      <c r="L1401" s="8">
        <f t="shared" si="68"/>
        <v>5.9458819685507649</v>
      </c>
    </row>
    <row r="1402" spans="1:12" x14ac:dyDescent="0.25">
      <c r="A1402" s="1">
        <v>1403</v>
      </c>
      <c r="B1402" s="1">
        <v>496</v>
      </c>
      <c r="C1402" s="3" t="s">
        <v>63</v>
      </c>
      <c r="D1402" s="5" t="s">
        <v>22</v>
      </c>
      <c r="E1402" s="10">
        <v>1.66</v>
      </c>
      <c r="F1402" s="10">
        <v>10.6</v>
      </c>
      <c r="G1402" s="10">
        <v>4.72</v>
      </c>
      <c r="H1402" s="10">
        <v>2.0099999999999998</v>
      </c>
      <c r="I1402" s="8">
        <f t="shared" si="67"/>
        <v>3.1730945399999992</v>
      </c>
      <c r="K1402" s="8">
        <f t="shared" si="69"/>
        <v>6.9109883327937069</v>
      </c>
      <c r="L1402" s="8">
        <f t="shared" si="68"/>
        <v>3.4554941663968535</v>
      </c>
    </row>
    <row r="1403" spans="1:12" x14ac:dyDescent="0.25">
      <c r="A1403" s="1">
        <v>1404</v>
      </c>
      <c r="B1403" s="1">
        <v>497</v>
      </c>
      <c r="C1403" s="3" t="s">
        <v>63</v>
      </c>
      <c r="D1403" s="5" t="s">
        <v>22</v>
      </c>
      <c r="E1403" s="10">
        <v>1.92</v>
      </c>
      <c r="F1403" s="10">
        <v>6.4</v>
      </c>
      <c r="G1403" s="10">
        <v>7.76</v>
      </c>
      <c r="H1403" s="10">
        <v>1.91</v>
      </c>
      <c r="I1403" s="8">
        <f t="shared" si="67"/>
        <v>2.8652177399999998</v>
      </c>
      <c r="K1403" s="8">
        <f t="shared" si="69"/>
        <v>19.279266532564954</v>
      </c>
      <c r="L1403" s="8">
        <f t="shared" si="68"/>
        <v>9.6396332662824769</v>
      </c>
    </row>
    <row r="1404" spans="1:12" x14ac:dyDescent="0.25">
      <c r="A1404" s="1">
        <v>1405</v>
      </c>
      <c r="B1404" s="1">
        <v>498</v>
      </c>
      <c r="C1404" s="3" t="s">
        <v>63</v>
      </c>
      <c r="D1404" s="5" t="s">
        <v>22</v>
      </c>
      <c r="E1404" s="10">
        <v>2.14</v>
      </c>
      <c r="F1404" s="10">
        <v>6.17</v>
      </c>
      <c r="G1404" s="10">
        <v>6.47</v>
      </c>
      <c r="H1404" s="10">
        <v>1.68</v>
      </c>
      <c r="I1404" s="8">
        <f t="shared" si="67"/>
        <v>2.2167129599999997</v>
      </c>
      <c r="K1404" s="8">
        <f t="shared" si="69"/>
        <v>13.248351092597812</v>
      </c>
      <c r="L1404" s="8">
        <f t="shared" si="68"/>
        <v>6.6241755462989058</v>
      </c>
    </row>
    <row r="1405" spans="1:12" x14ac:dyDescent="0.25">
      <c r="A1405" s="1">
        <v>1406</v>
      </c>
      <c r="B1405" s="1">
        <v>499</v>
      </c>
      <c r="C1405" s="3" t="s">
        <v>63</v>
      </c>
      <c r="D1405" s="5" t="s">
        <v>22</v>
      </c>
      <c r="E1405" s="10">
        <v>2.21</v>
      </c>
      <c r="F1405" s="10">
        <v>5.73</v>
      </c>
      <c r="G1405" s="10">
        <v>6.81</v>
      </c>
      <c r="H1405" s="10">
        <v>1.82</v>
      </c>
      <c r="I1405" s="8">
        <f t="shared" si="67"/>
        <v>2.6015589600000002</v>
      </c>
      <c r="K1405" s="8">
        <f t="shared" si="69"/>
        <v>14.725156223445479</v>
      </c>
      <c r="L1405" s="8">
        <f t="shared" si="68"/>
        <v>7.3625781117227396</v>
      </c>
    </row>
    <row r="1406" spans="1:12" x14ac:dyDescent="0.25">
      <c r="A1406" s="1">
        <v>1407</v>
      </c>
      <c r="B1406" s="1">
        <v>500</v>
      </c>
      <c r="C1406" s="3" t="s">
        <v>63</v>
      </c>
      <c r="D1406" s="5" t="s">
        <v>22</v>
      </c>
      <c r="E1406" s="10">
        <v>1.99</v>
      </c>
      <c r="F1406" s="10">
        <v>9.4600000000000009</v>
      </c>
      <c r="G1406" s="10">
        <v>7.79</v>
      </c>
      <c r="H1406" s="10">
        <v>1.67</v>
      </c>
      <c r="I1406" s="8">
        <f t="shared" si="67"/>
        <v>2.1904020599999998</v>
      </c>
      <c r="K1406" s="8">
        <f t="shared" si="69"/>
        <v>19.433382084046375</v>
      </c>
      <c r="L1406" s="8">
        <f t="shared" si="68"/>
        <v>9.7166910420231876</v>
      </c>
    </row>
    <row r="1407" spans="1:12" x14ac:dyDescent="0.25">
      <c r="A1407" s="1">
        <v>1408</v>
      </c>
      <c r="B1407" s="1">
        <v>501</v>
      </c>
      <c r="C1407" s="3" t="s">
        <v>63</v>
      </c>
      <c r="D1407" s="5" t="s">
        <v>22</v>
      </c>
      <c r="E1407" s="10">
        <v>2.19</v>
      </c>
      <c r="F1407" s="10">
        <v>9.9499999999999993</v>
      </c>
      <c r="G1407" s="10">
        <v>5.38</v>
      </c>
      <c r="H1407" s="10">
        <v>2</v>
      </c>
      <c r="I1407" s="8">
        <f t="shared" si="67"/>
        <v>3.1415999999999999</v>
      </c>
      <c r="K1407" s="8">
        <f t="shared" si="69"/>
        <v>9.0537827973626293</v>
      </c>
      <c r="L1407" s="8">
        <f t="shared" si="68"/>
        <v>4.5268913986813146</v>
      </c>
    </row>
    <row r="1408" spans="1:12" x14ac:dyDescent="0.25">
      <c r="A1408" s="1">
        <v>1409</v>
      </c>
      <c r="B1408" s="1">
        <v>502</v>
      </c>
      <c r="C1408" s="3" t="s">
        <v>63</v>
      </c>
      <c r="D1408" s="5" t="s">
        <v>22</v>
      </c>
      <c r="E1408" s="10">
        <v>1.4</v>
      </c>
      <c r="F1408" s="10">
        <v>5.22</v>
      </c>
      <c r="G1408" s="10">
        <v>8.49</v>
      </c>
      <c r="H1408" s="10">
        <v>1.9</v>
      </c>
      <c r="I1408" s="8">
        <f t="shared" si="67"/>
        <v>2.8352939999999998</v>
      </c>
      <c r="K1408" s="8">
        <f t="shared" si="69"/>
        <v>23.209290499968755</v>
      </c>
      <c r="L1408" s="8">
        <f t="shared" si="68"/>
        <v>11.604645249984378</v>
      </c>
    </row>
    <row r="1409" spans="1:12" x14ac:dyDescent="0.25">
      <c r="A1409" s="1">
        <v>1410</v>
      </c>
      <c r="B1409" s="1">
        <v>503</v>
      </c>
      <c r="C1409" s="3" t="s">
        <v>63</v>
      </c>
      <c r="D1409" s="5" t="s">
        <v>22</v>
      </c>
      <c r="E1409" s="10">
        <v>2.39</v>
      </c>
      <c r="F1409" s="10">
        <v>11.55</v>
      </c>
      <c r="G1409" s="10">
        <v>6.2</v>
      </c>
      <c r="H1409" s="10">
        <v>2.02</v>
      </c>
      <c r="I1409" s="8">
        <f t="shared" ref="I1409:I1472" si="70">0.7854*H1409^2</f>
        <v>3.20474616</v>
      </c>
      <c r="K1409" s="8">
        <f t="shared" si="69"/>
        <v>12.132801627168117</v>
      </c>
      <c r="L1409" s="8">
        <f t="shared" ref="L1409:L1472" si="71">K1409*0.5</f>
        <v>6.0664008135840586</v>
      </c>
    </row>
    <row r="1410" spans="1:12" x14ac:dyDescent="0.25">
      <c r="A1410" s="1">
        <v>1411</v>
      </c>
      <c r="B1410" s="1">
        <v>504</v>
      </c>
      <c r="C1410" s="3" t="s">
        <v>63</v>
      </c>
      <c r="D1410" s="5" t="s">
        <v>22</v>
      </c>
      <c r="E1410" s="10">
        <v>1.74</v>
      </c>
      <c r="F1410" s="10">
        <v>5.36</v>
      </c>
      <c r="G1410" s="10">
        <v>3.95</v>
      </c>
      <c r="H1410" s="10">
        <v>1.72</v>
      </c>
      <c r="I1410" s="8">
        <f t="shared" si="70"/>
        <v>2.3235273599999999</v>
      </c>
      <c r="K1410" s="8">
        <f t="shared" si="69"/>
        <v>4.7856281735027855</v>
      </c>
      <c r="L1410" s="8">
        <f t="shared" si="71"/>
        <v>2.3928140867513927</v>
      </c>
    </row>
    <row r="1411" spans="1:12" x14ac:dyDescent="0.25">
      <c r="A1411" s="1">
        <v>1412</v>
      </c>
      <c r="B1411" s="1">
        <v>505</v>
      </c>
      <c r="C1411" s="3" t="s">
        <v>63</v>
      </c>
      <c r="D1411" s="5" t="s">
        <v>22</v>
      </c>
      <c r="E1411" s="10">
        <v>2.11</v>
      </c>
      <c r="F1411" s="10">
        <v>8.7899999999999991</v>
      </c>
      <c r="G1411" s="10">
        <v>7.18</v>
      </c>
      <c r="H1411" s="10">
        <v>1.97</v>
      </c>
      <c r="I1411" s="8">
        <f t="shared" si="70"/>
        <v>3.0480588599999998</v>
      </c>
      <c r="K1411" s="8">
        <f t="shared" si="69"/>
        <v>16.42379956532697</v>
      </c>
      <c r="L1411" s="8">
        <f t="shared" si="71"/>
        <v>8.211899782663485</v>
      </c>
    </row>
    <row r="1412" spans="1:12" x14ac:dyDescent="0.25">
      <c r="A1412" s="1">
        <v>1413</v>
      </c>
      <c r="B1412" s="1">
        <v>506</v>
      </c>
      <c r="C1412" s="3" t="s">
        <v>63</v>
      </c>
      <c r="D1412" s="5" t="s">
        <v>22</v>
      </c>
      <c r="E1412" s="10">
        <v>1.78</v>
      </c>
      <c r="F1412" s="10">
        <v>9.9600000000000009</v>
      </c>
      <c r="G1412" s="10">
        <v>7.76</v>
      </c>
      <c r="H1412" s="10">
        <v>2.04</v>
      </c>
      <c r="I1412" s="8">
        <f t="shared" si="70"/>
        <v>3.2685206399999998</v>
      </c>
      <c r="K1412" s="8">
        <f t="shared" si="69"/>
        <v>19.279266532564954</v>
      </c>
      <c r="L1412" s="8">
        <f t="shared" si="71"/>
        <v>9.6396332662824769</v>
      </c>
    </row>
    <row r="1413" spans="1:12" x14ac:dyDescent="0.25">
      <c r="A1413" s="1">
        <v>1414</v>
      </c>
      <c r="B1413" s="1">
        <v>507</v>
      </c>
      <c r="C1413" s="3" t="s">
        <v>63</v>
      </c>
      <c r="D1413" s="5" t="s">
        <v>22</v>
      </c>
      <c r="E1413" s="10">
        <v>1.99</v>
      </c>
      <c r="F1413" s="10">
        <v>11.1</v>
      </c>
      <c r="G1413" s="10">
        <v>4.9000000000000004</v>
      </c>
      <c r="H1413" s="10">
        <v>1.89</v>
      </c>
      <c r="I1413" s="8">
        <f t="shared" si="70"/>
        <v>2.8055273399999998</v>
      </c>
      <c r="K1413" s="8">
        <f t="shared" si="69"/>
        <v>7.4658705720093703</v>
      </c>
      <c r="L1413" s="8">
        <f t="shared" si="71"/>
        <v>3.7329352860046852</v>
      </c>
    </row>
    <row r="1414" spans="1:12" x14ac:dyDescent="0.25">
      <c r="A1414" s="1">
        <v>1415</v>
      </c>
      <c r="B1414" s="1">
        <v>508</v>
      </c>
      <c r="C1414" s="3" t="s">
        <v>63</v>
      </c>
      <c r="D1414" s="5" t="s">
        <v>22</v>
      </c>
      <c r="E1414" s="10">
        <v>2</v>
      </c>
      <c r="F1414" s="10">
        <v>10</v>
      </c>
      <c r="G1414" s="10">
        <v>8.14</v>
      </c>
      <c r="H1414" s="10">
        <v>1.8</v>
      </c>
      <c r="I1414" s="8">
        <f t="shared" si="70"/>
        <v>2.5446960000000001</v>
      </c>
      <c r="K1414" s="8">
        <f t="shared" si="69"/>
        <v>21.278171507669274</v>
      </c>
      <c r="L1414" s="8">
        <f t="shared" si="71"/>
        <v>10.639085753834637</v>
      </c>
    </row>
    <row r="1415" spans="1:12" x14ac:dyDescent="0.25">
      <c r="A1415" s="1">
        <v>1416</v>
      </c>
      <c r="B1415" s="1">
        <v>509</v>
      </c>
      <c r="C1415" s="3" t="s">
        <v>63</v>
      </c>
      <c r="D1415" s="5" t="s">
        <v>22</v>
      </c>
      <c r="E1415" s="10">
        <v>2.34</v>
      </c>
      <c r="F1415" s="10">
        <v>10.61</v>
      </c>
      <c r="G1415" s="10">
        <v>8.44</v>
      </c>
      <c r="H1415" s="10">
        <v>1.99</v>
      </c>
      <c r="I1415" s="8">
        <f t="shared" si="70"/>
        <v>3.1102625399999999</v>
      </c>
      <c r="K1415" s="8">
        <f t="shared" si="69"/>
        <v>22.928122015273225</v>
      </c>
      <c r="L1415" s="8">
        <f t="shared" si="71"/>
        <v>11.464061007636612</v>
      </c>
    </row>
    <row r="1416" spans="1:12" x14ac:dyDescent="0.25">
      <c r="A1416" s="1">
        <v>1417</v>
      </c>
      <c r="B1416" s="1">
        <v>510</v>
      </c>
      <c r="C1416" s="3" t="s">
        <v>63</v>
      </c>
      <c r="D1416" s="5" t="s">
        <v>22</v>
      </c>
      <c r="E1416" s="10">
        <v>1.55</v>
      </c>
      <c r="F1416" s="10">
        <v>7.38</v>
      </c>
      <c r="G1416" s="10">
        <v>4.66</v>
      </c>
      <c r="H1416" s="10">
        <v>1.82</v>
      </c>
      <c r="I1416" s="8">
        <f t="shared" si="70"/>
        <v>2.6015589600000002</v>
      </c>
      <c r="K1416" s="8">
        <f t="shared" si="69"/>
        <v>6.7309317152507449</v>
      </c>
      <c r="L1416" s="8">
        <f t="shared" si="71"/>
        <v>3.3654658576253724</v>
      </c>
    </row>
    <row r="1417" spans="1:12" x14ac:dyDescent="0.25">
      <c r="A1417" s="1">
        <v>1418</v>
      </c>
      <c r="B1417" s="1">
        <v>511</v>
      </c>
      <c r="C1417" s="3" t="s">
        <v>63</v>
      </c>
      <c r="D1417" s="5" t="s">
        <v>22</v>
      </c>
      <c r="E1417" s="10">
        <v>1.72</v>
      </c>
      <c r="F1417" s="10">
        <v>10.7</v>
      </c>
      <c r="G1417" s="10">
        <v>8.9</v>
      </c>
      <c r="H1417" s="10">
        <v>1.72</v>
      </c>
      <c r="I1417" s="8">
        <f t="shared" si="70"/>
        <v>2.3235273599999999</v>
      </c>
      <c r="K1417" s="8">
        <f t="shared" si="69"/>
        <v>25.581565859292851</v>
      </c>
      <c r="L1417" s="8">
        <f t="shared" si="71"/>
        <v>12.790782929646426</v>
      </c>
    </row>
    <row r="1418" spans="1:12" x14ac:dyDescent="0.25">
      <c r="A1418" s="1">
        <v>1419</v>
      </c>
      <c r="B1418" s="1">
        <v>512</v>
      </c>
      <c r="C1418" s="3" t="s">
        <v>63</v>
      </c>
      <c r="D1418" s="5" t="s">
        <v>22</v>
      </c>
      <c r="E1418" s="10">
        <v>1.75</v>
      </c>
      <c r="F1418" s="10">
        <v>5.56</v>
      </c>
      <c r="G1418" s="10">
        <v>3.84</v>
      </c>
      <c r="H1418" s="10">
        <v>2.0099999999999998</v>
      </c>
      <c r="I1418" s="8">
        <f t="shared" si="70"/>
        <v>3.1730945399999992</v>
      </c>
      <c r="K1418" s="8">
        <f t="shared" si="69"/>
        <v>4.514694076401689</v>
      </c>
      <c r="L1418" s="8">
        <f t="shared" si="71"/>
        <v>2.2573470382008445</v>
      </c>
    </row>
    <row r="1419" spans="1:12" x14ac:dyDescent="0.25">
      <c r="A1419" s="1">
        <v>1420</v>
      </c>
      <c r="B1419" s="1">
        <v>513</v>
      </c>
      <c r="C1419" s="3" t="s">
        <v>63</v>
      </c>
      <c r="D1419" s="5" t="s">
        <v>22</v>
      </c>
      <c r="E1419" s="10">
        <v>1.37</v>
      </c>
      <c r="F1419" s="10">
        <v>11.26</v>
      </c>
      <c r="G1419" s="10">
        <v>4.21</v>
      </c>
      <c r="H1419" s="10">
        <v>1.68</v>
      </c>
      <c r="I1419" s="8">
        <f t="shared" si="70"/>
        <v>2.2167129599999997</v>
      </c>
      <c r="K1419" s="8">
        <f t="shared" si="69"/>
        <v>5.4584200101404718</v>
      </c>
      <c r="L1419" s="8">
        <f t="shared" si="71"/>
        <v>2.7292100050702359</v>
      </c>
    </row>
    <row r="1420" spans="1:12" x14ac:dyDescent="0.25">
      <c r="A1420" s="1">
        <v>1421</v>
      </c>
      <c r="B1420" s="1">
        <v>514</v>
      </c>
      <c r="C1420" s="3" t="s">
        <v>63</v>
      </c>
      <c r="D1420" s="5" t="s">
        <v>22</v>
      </c>
      <c r="E1420" s="10">
        <v>1.82</v>
      </c>
      <c r="F1420" s="10">
        <v>8.83</v>
      </c>
      <c r="G1420" s="10">
        <v>4.1100000000000003</v>
      </c>
      <c r="H1420" s="10">
        <v>1.68</v>
      </c>
      <c r="I1420" s="8">
        <f t="shared" si="70"/>
        <v>2.2167129599999997</v>
      </c>
      <c r="K1420" s="8">
        <f t="shared" ref="K1420:K1483" si="72">0.2811*G1420^2.0635</f>
        <v>5.194257135419595</v>
      </c>
      <c r="L1420" s="8">
        <f t="shared" si="71"/>
        <v>2.5971285677097975</v>
      </c>
    </row>
    <row r="1421" spans="1:12" x14ac:dyDescent="0.25">
      <c r="A1421" s="1">
        <v>1422</v>
      </c>
      <c r="B1421" s="1">
        <v>515</v>
      </c>
      <c r="C1421" s="3" t="s">
        <v>63</v>
      </c>
      <c r="D1421" s="5" t="s">
        <v>22</v>
      </c>
      <c r="E1421" s="10">
        <v>2.23</v>
      </c>
      <c r="F1421" s="10">
        <v>10.72</v>
      </c>
      <c r="G1421" s="10">
        <v>8.36</v>
      </c>
      <c r="H1421" s="10">
        <v>2.0699999999999998</v>
      </c>
      <c r="I1421" s="8">
        <f t="shared" si="70"/>
        <v>3.3653604599999993</v>
      </c>
      <c r="K1421" s="8">
        <f t="shared" si="72"/>
        <v>22.481925229592129</v>
      </c>
      <c r="L1421" s="8">
        <f t="shared" si="71"/>
        <v>11.240962614796064</v>
      </c>
    </row>
    <row r="1422" spans="1:12" x14ac:dyDescent="0.25">
      <c r="A1422" s="1">
        <v>1423</v>
      </c>
      <c r="B1422" s="1">
        <v>516</v>
      </c>
      <c r="C1422" s="3" t="s">
        <v>63</v>
      </c>
      <c r="D1422" s="5" t="s">
        <v>22</v>
      </c>
      <c r="E1422" s="10">
        <v>2.15</v>
      </c>
      <c r="F1422" s="10">
        <v>8.17</v>
      </c>
      <c r="G1422" s="10">
        <v>6.93</v>
      </c>
      <c r="H1422" s="10">
        <v>1.86</v>
      </c>
      <c r="I1422" s="8">
        <f t="shared" si="70"/>
        <v>2.7171698400000004</v>
      </c>
      <c r="K1422" s="8">
        <f t="shared" si="72"/>
        <v>15.265599884849191</v>
      </c>
      <c r="L1422" s="8">
        <f t="shared" si="71"/>
        <v>7.6327999424245956</v>
      </c>
    </row>
    <row r="1423" spans="1:12" x14ac:dyDescent="0.25">
      <c r="A1423" s="1">
        <v>1424</v>
      </c>
      <c r="B1423" s="1">
        <v>517</v>
      </c>
      <c r="C1423" s="3" t="s">
        <v>63</v>
      </c>
      <c r="D1423" s="5" t="s">
        <v>22</v>
      </c>
      <c r="E1423" s="10">
        <v>2.2200000000000002</v>
      </c>
      <c r="F1423" s="10">
        <v>9.51</v>
      </c>
      <c r="G1423" s="10">
        <v>3.91</v>
      </c>
      <c r="H1423" s="10">
        <v>1.85</v>
      </c>
      <c r="I1423" s="8">
        <f t="shared" si="70"/>
        <v>2.6880315000000001</v>
      </c>
      <c r="K1423" s="8">
        <f t="shared" si="72"/>
        <v>4.6861650911010058</v>
      </c>
      <c r="L1423" s="8">
        <f t="shared" si="71"/>
        <v>2.3430825455505029</v>
      </c>
    </row>
    <row r="1424" spans="1:12" x14ac:dyDescent="0.25">
      <c r="A1424" s="1">
        <v>1425</v>
      </c>
      <c r="B1424" s="1">
        <v>518</v>
      </c>
      <c r="C1424" s="3" t="s">
        <v>63</v>
      </c>
      <c r="D1424" s="5" t="s">
        <v>22</v>
      </c>
      <c r="E1424" s="10">
        <v>2</v>
      </c>
      <c r="F1424" s="10">
        <v>8.68</v>
      </c>
      <c r="G1424" s="10">
        <v>5.64</v>
      </c>
      <c r="H1424" s="10">
        <v>2.0699999999999998</v>
      </c>
      <c r="I1424" s="8">
        <f t="shared" si="70"/>
        <v>3.3653604599999993</v>
      </c>
      <c r="K1424" s="8">
        <f t="shared" si="72"/>
        <v>9.9798790210454715</v>
      </c>
      <c r="L1424" s="8">
        <f t="shared" si="71"/>
        <v>4.9899395105227358</v>
      </c>
    </row>
    <row r="1425" spans="1:12" x14ac:dyDescent="0.25">
      <c r="A1425" s="1">
        <v>1426</v>
      </c>
      <c r="B1425" s="1">
        <v>519</v>
      </c>
      <c r="C1425" s="3" t="s">
        <v>63</v>
      </c>
      <c r="D1425" s="5" t="s">
        <v>22</v>
      </c>
      <c r="E1425" s="10">
        <v>1.19</v>
      </c>
      <c r="F1425" s="10">
        <v>10.119999999999999</v>
      </c>
      <c r="G1425" s="10">
        <v>6.69</v>
      </c>
      <c r="H1425" s="10">
        <v>2.0299999999999998</v>
      </c>
      <c r="I1425" s="8">
        <f t="shared" si="70"/>
        <v>3.2365548599999991</v>
      </c>
      <c r="K1425" s="8">
        <f t="shared" si="72"/>
        <v>14.194746455341846</v>
      </c>
      <c r="L1425" s="8">
        <f t="shared" si="71"/>
        <v>7.0973732276709232</v>
      </c>
    </row>
    <row r="1426" spans="1:12" x14ac:dyDescent="0.25">
      <c r="A1426" s="1">
        <v>1427</v>
      </c>
      <c r="B1426" s="1">
        <v>520</v>
      </c>
      <c r="C1426" s="3" t="s">
        <v>63</v>
      </c>
      <c r="D1426" s="5" t="s">
        <v>22</v>
      </c>
      <c r="E1426" s="10">
        <v>1.97</v>
      </c>
      <c r="F1426" s="10">
        <v>5.57</v>
      </c>
      <c r="G1426" s="10">
        <v>3.5</v>
      </c>
      <c r="H1426" s="10">
        <v>1.69</v>
      </c>
      <c r="I1426" s="8">
        <f t="shared" si="70"/>
        <v>2.2431809399999998</v>
      </c>
      <c r="K1426" s="8">
        <f t="shared" si="72"/>
        <v>3.7285953628971171</v>
      </c>
      <c r="L1426" s="8">
        <f t="shared" si="71"/>
        <v>1.8642976814485586</v>
      </c>
    </row>
    <row r="1427" spans="1:12" x14ac:dyDescent="0.25">
      <c r="A1427" s="1">
        <v>1428</v>
      </c>
      <c r="B1427" s="1">
        <v>521</v>
      </c>
      <c r="C1427" s="3" t="s">
        <v>63</v>
      </c>
      <c r="D1427" s="5" t="s">
        <v>22</v>
      </c>
      <c r="E1427" s="10">
        <v>2.37</v>
      </c>
      <c r="F1427" s="10">
        <v>5.42</v>
      </c>
      <c r="G1427" s="10">
        <v>8.2899999999999991</v>
      </c>
      <c r="H1427" s="10">
        <v>1.79</v>
      </c>
      <c r="I1427" s="8">
        <f t="shared" si="70"/>
        <v>2.5165001399999998</v>
      </c>
      <c r="K1427" s="8">
        <f t="shared" si="72"/>
        <v>22.095209277824782</v>
      </c>
      <c r="L1427" s="8">
        <f t="shared" si="71"/>
        <v>11.047604638912391</v>
      </c>
    </row>
    <row r="1428" spans="1:12" x14ac:dyDescent="0.25">
      <c r="A1428" s="1">
        <v>1429</v>
      </c>
      <c r="B1428" s="1">
        <v>522</v>
      </c>
      <c r="C1428" s="3" t="s">
        <v>63</v>
      </c>
      <c r="D1428" s="5" t="s">
        <v>22</v>
      </c>
      <c r="E1428" s="10">
        <v>2.37</v>
      </c>
      <c r="F1428" s="10">
        <v>6.73</v>
      </c>
      <c r="G1428" s="10">
        <v>7.82</v>
      </c>
      <c r="H1428" s="10">
        <v>1.8</v>
      </c>
      <c r="I1428" s="8">
        <f t="shared" si="70"/>
        <v>2.5446960000000001</v>
      </c>
      <c r="K1428" s="8">
        <f t="shared" si="72"/>
        <v>19.58813013172561</v>
      </c>
      <c r="L1428" s="8">
        <f t="shared" si="71"/>
        <v>9.7940650658628048</v>
      </c>
    </row>
    <row r="1429" spans="1:12" x14ac:dyDescent="0.25">
      <c r="A1429" s="1">
        <v>1430</v>
      </c>
      <c r="B1429" s="1">
        <v>523</v>
      </c>
      <c r="C1429" s="3" t="s">
        <v>63</v>
      </c>
      <c r="D1429" s="5" t="s">
        <v>22</v>
      </c>
      <c r="E1429" s="10">
        <v>1.1100000000000001</v>
      </c>
      <c r="F1429" s="10">
        <v>6.12</v>
      </c>
      <c r="G1429" s="10">
        <v>6.03</v>
      </c>
      <c r="H1429" s="10">
        <v>1.99</v>
      </c>
      <c r="I1429" s="8">
        <f t="shared" si="70"/>
        <v>3.1102625399999999</v>
      </c>
      <c r="K1429" s="8">
        <f t="shared" si="72"/>
        <v>11.456332748616074</v>
      </c>
      <c r="L1429" s="8">
        <f t="shared" si="71"/>
        <v>5.7281663743080369</v>
      </c>
    </row>
    <row r="1430" spans="1:12" x14ac:dyDescent="0.25">
      <c r="A1430" s="1">
        <v>1431</v>
      </c>
      <c r="B1430" s="1">
        <v>524</v>
      </c>
      <c r="C1430" s="3" t="s">
        <v>63</v>
      </c>
      <c r="D1430" s="5" t="s">
        <v>22</v>
      </c>
      <c r="E1430" s="10">
        <v>1.29</v>
      </c>
      <c r="F1430" s="10">
        <v>11.1</v>
      </c>
      <c r="G1430" s="10">
        <v>8.8000000000000007</v>
      </c>
      <c r="H1430" s="10">
        <v>1.8</v>
      </c>
      <c r="I1430" s="8">
        <f t="shared" si="70"/>
        <v>2.5446960000000001</v>
      </c>
      <c r="K1430" s="8">
        <f t="shared" si="72"/>
        <v>24.991990067072521</v>
      </c>
      <c r="L1430" s="8">
        <f t="shared" si="71"/>
        <v>12.495995033536261</v>
      </c>
    </row>
    <row r="1431" spans="1:12" x14ac:dyDescent="0.25">
      <c r="A1431" s="1">
        <v>1432</v>
      </c>
      <c r="B1431" s="1">
        <v>525</v>
      </c>
      <c r="C1431" s="3" t="s">
        <v>63</v>
      </c>
      <c r="D1431" s="5" t="s">
        <v>22</v>
      </c>
      <c r="E1431" s="10">
        <v>1.54</v>
      </c>
      <c r="F1431" s="10">
        <v>6.53</v>
      </c>
      <c r="G1431" s="10">
        <v>5.51</v>
      </c>
      <c r="H1431" s="10">
        <v>2.0499999999999998</v>
      </c>
      <c r="I1431" s="8">
        <f t="shared" si="70"/>
        <v>3.3006434999999996</v>
      </c>
      <c r="K1431" s="8">
        <f t="shared" si="72"/>
        <v>9.5110216406950308</v>
      </c>
      <c r="L1431" s="8">
        <f t="shared" si="71"/>
        <v>4.7555108203475154</v>
      </c>
    </row>
    <row r="1432" spans="1:12" x14ac:dyDescent="0.25">
      <c r="A1432" s="1">
        <v>1433</v>
      </c>
      <c r="B1432" s="1">
        <v>526</v>
      </c>
      <c r="C1432" s="3" t="s">
        <v>63</v>
      </c>
      <c r="D1432" s="5" t="s">
        <v>22</v>
      </c>
      <c r="E1432" s="10">
        <v>1.23</v>
      </c>
      <c r="F1432" s="10">
        <v>11.83</v>
      </c>
      <c r="G1432" s="10">
        <v>8.9</v>
      </c>
      <c r="H1432" s="10">
        <v>1.86</v>
      </c>
      <c r="I1432" s="8">
        <f t="shared" si="70"/>
        <v>2.7171698400000004</v>
      </c>
      <c r="K1432" s="8">
        <f t="shared" si="72"/>
        <v>25.581565859292851</v>
      </c>
      <c r="L1432" s="8">
        <f t="shared" si="71"/>
        <v>12.790782929646426</v>
      </c>
    </row>
    <row r="1433" spans="1:12" x14ac:dyDescent="0.25">
      <c r="A1433" s="1">
        <v>1434</v>
      </c>
      <c r="B1433" s="1">
        <v>527</v>
      </c>
      <c r="C1433" s="3" t="s">
        <v>63</v>
      </c>
      <c r="D1433" s="5" t="s">
        <v>22</v>
      </c>
      <c r="E1433" s="10">
        <v>2.0299999999999998</v>
      </c>
      <c r="F1433" s="10">
        <v>7.36</v>
      </c>
      <c r="G1433" s="10">
        <v>7.01</v>
      </c>
      <c r="H1433" s="10">
        <v>1.94</v>
      </c>
      <c r="I1433" s="8">
        <f t="shared" si="70"/>
        <v>2.9559314399999996</v>
      </c>
      <c r="K1433" s="8">
        <f t="shared" si="72"/>
        <v>15.63147555112362</v>
      </c>
      <c r="L1433" s="8">
        <f t="shared" si="71"/>
        <v>7.8157377755618098</v>
      </c>
    </row>
    <row r="1434" spans="1:12" x14ac:dyDescent="0.25">
      <c r="A1434" s="1">
        <v>1435</v>
      </c>
      <c r="B1434" s="1">
        <v>528</v>
      </c>
      <c r="C1434" s="3" t="s">
        <v>63</v>
      </c>
      <c r="D1434" s="5" t="s">
        <v>22</v>
      </c>
      <c r="E1434" s="10">
        <v>1.38</v>
      </c>
      <c r="F1434" s="10">
        <v>6.27</v>
      </c>
      <c r="G1434" s="10">
        <v>6.81</v>
      </c>
      <c r="H1434" s="10">
        <v>1.74</v>
      </c>
      <c r="I1434" s="8">
        <f t="shared" si="70"/>
        <v>2.37787704</v>
      </c>
      <c r="K1434" s="8">
        <f t="shared" si="72"/>
        <v>14.725156223445479</v>
      </c>
      <c r="L1434" s="8">
        <f t="shared" si="71"/>
        <v>7.3625781117227396</v>
      </c>
    </row>
    <row r="1435" spans="1:12" x14ac:dyDescent="0.25">
      <c r="A1435" s="1">
        <v>1436</v>
      </c>
      <c r="B1435" s="1">
        <v>529</v>
      </c>
      <c r="C1435" s="3" t="s">
        <v>63</v>
      </c>
      <c r="D1435" s="5" t="s">
        <v>22</v>
      </c>
      <c r="E1435" s="10">
        <v>1.77</v>
      </c>
      <c r="F1435" s="10">
        <v>10.53</v>
      </c>
      <c r="G1435" s="10">
        <v>4</v>
      </c>
      <c r="H1435" s="10">
        <v>1.89</v>
      </c>
      <c r="I1435" s="8">
        <f t="shared" si="70"/>
        <v>2.8055273399999998</v>
      </c>
      <c r="K1435" s="8">
        <f t="shared" si="72"/>
        <v>4.9114716065456436</v>
      </c>
      <c r="L1435" s="8">
        <f t="shared" si="71"/>
        <v>2.4557358032728218</v>
      </c>
    </row>
    <row r="1436" spans="1:12" x14ac:dyDescent="0.25">
      <c r="A1436" s="1">
        <v>1437</v>
      </c>
      <c r="B1436" s="1">
        <v>530</v>
      </c>
      <c r="C1436" s="3" t="s">
        <v>63</v>
      </c>
      <c r="D1436" s="5" t="s">
        <v>22</v>
      </c>
      <c r="E1436" s="10">
        <v>2.2999999999999998</v>
      </c>
      <c r="F1436" s="10">
        <v>9.61</v>
      </c>
      <c r="G1436" s="10">
        <v>8.2899999999999991</v>
      </c>
      <c r="H1436" s="10">
        <v>1.8</v>
      </c>
      <c r="I1436" s="8">
        <f t="shared" si="70"/>
        <v>2.5446960000000001</v>
      </c>
      <c r="K1436" s="8">
        <f t="shared" si="72"/>
        <v>22.095209277824782</v>
      </c>
      <c r="L1436" s="8">
        <f t="shared" si="71"/>
        <v>11.047604638912391</v>
      </c>
    </row>
    <row r="1437" spans="1:12" x14ac:dyDescent="0.25">
      <c r="A1437" s="1">
        <v>1438</v>
      </c>
      <c r="B1437" s="1">
        <v>531</v>
      </c>
      <c r="C1437" s="3" t="s">
        <v>63</v>
      </c>
      <c r="D1437" s="5" t="s">
        <v>22</v>
      </c>
      <c r="E1437" s="10">
        <v>1.46</v>
      </c>
      <c r="F1437" s="10">
        <v>8.49</v>
      </c>
      <c r="G1437" s="10">
        <v>5.56</v>
      </c>
      <c r="H1437" s="10">
        <v>2.0699999999999998</v>
      </c>
      <c r="I1437" s="8">
        <f t="shared" si="70"/>
        <v>3.3653604599999993</v>
      </c>
      <c r="K1437" s="8">
        <f t="shared" si="72"/>
        <v>9.6899754787817987</v>
      </c>
      <c r="L1437" s="8">
        <f t="shared" si="71"/>
        <v>4.8449877393908993</v>
      </c>
    </row>
    <row r="1438" spans="1:12" x14ac:dyDescent="0.25">
      <c r="A1438" s="1">
        <v>1439</v>
      </c>
      <c r="B1438" s="1">
        <v>532</v>
      </c>
      <c r="C1438" s="3" t="s">
        <v>63</v>
      </c>
      <c r="D1438" s="5" t="s">
        <v>22</v>
      </c>
      <c r="E1438" s="10">
        <v>1.97</v>
      </c>
      <c r="F1438" s="10">
        <v>8.89</v>
      </c>
      <c r="G1438" s="10">
        <v>3.97</v>
      </c>
      <c r="H1438" s="10">
        <v>1.69</v>
      </c>
      <c r="I1438" s="8">
        <f t="shared" si="70"/>
        <v>2.2431809399999998</v>
      </c>
      <c r="K1438" s="8">
        <f t="shared" si="72"/>
        <v>4.8357635379035475</v>
      </c>
      <c r="L1438" s="8">
        <f t="shared" si="71"/>
        <v>2.4178817689517738</v>
      </c>
    </row>
    <row r="1439" spans="1:12" x14ac:dyDescent="0.25">
      <c r="A1439" s="1">
        <v>1440</v>
      </c>
      <c r="B1439" s="1">
        <v>533</v>
      </c>
      <c r="C1439" s="3" t="s">
        <v>63</v>
      </c>
      <c r="D1439" s="5" t="s">
        <v>22</v>
      </c>
      <c r="E1439" s="10">
        <v>1.54</v>
      </c>
      <c r="F1439" s="10">
        <v>10.029999999999999</v>
      </c>
      <c r="G1439" s="10">
        <v>3.08</v>
      </c>
      <c r="H1439" s="10">
        <v>1.76</v>
      </c>
      <c r="I1439" s="8">
        <f t="shared" si="70"/>
        <v>2.4328550399999997</v>
      </c>
      <c r="K1439" s="8">
        <f t="shared" si="72"/>
        <v>2.8640806892143513</v>
      </c>
      <c r="L1439" s="8">
        <f t="shared" si="71"/>
        <v>1.4320403446071757</v>
      </c>
    </row>
    <row r="1440" spans="1:12" x14ac:dyDescent="0.25">
      <c r="A1440" s="1">
        <v>1441</v>
      </c>
      <c r="B1440" s="1">
        <v>534</v>
      </c>
      <c r="C1440" s="3" t="s">
        <v>63</v>
      </c>
      <c r="D1440" s="5" t="s">
        <v>22</v>
      </c>
      <c r="E1440" s="10">
        <v>1.45</v>
      </c>
      <c r="F1440" s="10">
        <v>6.6</v>
      </c>
      <c r="G1440" s="10">
        <v>6.36</v>
      </c>
      <c r="H1440" s="10">
        <v>2.02</v>
      </c>
      <c r="I1440" s="8">
        <f t="shared" si="70"/>
        <v>3.20474616</v>
      </c>
      <c r="K1440" s="8">
        <f t="shared" si="72"/>
        <v>12.787763736192748</v>
      </c>
      <c r="L1440" s="8">
        <f t="shared" si="71"/>
        <v>6.3938818680963738</v>
      </c>
    </row>
    <row r="1441" spans="1:12" x14ac:dyDescent="0.25">
      <c r="A1441" s="1">
        <v>1442</v>
      </c>
      <c r="B1441" s="1">
        <v>535</v>
      </c>
      <c r="C1441" s="3" t="s">
        <v>63</v>
      </c>
      <c r="D1441" s="5" t="s">
        <v>22</v>
      </c>
      <c r="E1441" s="10">
        <v>1.1399999999999999</v>
      </c>
      <c r="F1441" s="10">
        <v>11.97</v>
      </c>
      <c r="G1441" s="10">
        <v>6.16</v>
      </c>
      <c r="H1441" s="10">
        <v>2</v>
      </c>
      <c r="I1441" s="8">
        <f t="shared" si="70"/>
        <v>3.1415999999999999</v>
      </c>
      <c r="K1441" s="8">
        <f t="shared" si="72"/>
        <v>11.971832864921979</v>
      </c>
      <c r="L1441" s="8">
        <f t="shared" si="71"/>
        <v>5.9859164324609893</v>
      </c>
    </row>
    <row r="1442" spans="1:12" x14ac:dyDescent="0.25">
      <c r="A1442" s="1">
        <v>1443</v>
      </c>
      <c r="B1442" s="1">
        <v>536</v>
      </c>
      <c r="C1442" s="3" t="s">
        <v>63</v>
      </c>
      <c r="D1442" s="5" t="s">
        <v>22</v>
      </c>
      <c r="E1442" s="10">
        <v>1.9</v>
      </c>
      <c r="F1442" s="10">
        <v>11.82</v>
      </c>
      <c r="G1442" s="10">
        <v>7.32</v>
      </c>
      <c r="H1442" s="10">
        <v>1.75</v>
      </c>
      <c r="I1442" s="8">
        <f t="shared" si="70"/>
        <v>2.4052875</v>
      </c>
      <c r="K1442" s="8">
        <f t="shared" si="72"/>
        <v>17.091471744374502</v>
      </c>
      <c r="L1442" s="8">
        <f t="shared" si="71"/>
        <v>8.5457358721872509</v>
      </c>
    </row>
    <row r="1443" spans="1:12" x14ac:dyDescent="0.25">
      <c r="A1443" s="1">
        <v>1444</v>
      </c>
      <c r="B1443" s="1">
        <v>537</v>
      </c>
      <c r="C1443" s="3" t="s">
        <v>63</v>
      </c>
      <c r="D1443" s="5" t="s">
        <v>22</v>
      </c>
      <c r="E1443" s="10">
        <v>2.38</v>
      </c>
      <c r="F1443" s="10">
        <v>9.5500000000000007</v>
      </c>
      <c r="G1443" s="10">
        <v>8.34</v>
      </c>
      <c r="H1443" s="10">
        <v>1.93</v>
      </c>
      <c r="I1443" s="8">
        <f t="shared" si="70"/>
        <v>2.92553646</v>
      </c>
      <c r="K1443" s="8">
        <f t="shared" si="72"/>
        <v>22.371082072222809</v>
      </c>
      <c r="L1443" s="8">
        <f t="shared" si="71"/>
        <v>11.185541036111404</v>
      </c>
    </row>
    <row r="1444" spans="1:12" x14ac:dyDescent="0.25">
      <c r="A1444" s="1">
        <v>1445</v>
      </c>
      <c r="B1444" s="1">
        <v>538</v>
      </c>
      <c r="C1444" s="3" t="s">
        <v>63</v>
      </c>
      <c r="D1444" s="5" t="s">
        <v>22</v>
      </c>
      <c r="E1444" s="10">
        <v>1.63</v>
      </c>
      <c r="F1444" s="10">
        <v>6.4</v>
      </c>
      <c r="G1444" s="10">
        <v>3.48</v>
      </c>
      <c r="H1444" s="10">
        <v>1.98</v>
      </c>
      <c r="I1444" s="8">
        <f t="shared" si="70"/>
        <v>3.07908216</v>
      </c>
      <c r="K1444" s="8">
        <f t="shared" si="72"/>
        <v>3.6847634730323016</v>
      </c>
      <c r="L1444" s="8">
        <f t="shared" si="71"/>
        <v>1.8423817365161508</v>
      </c>
    </row>
    <row r="1445" spans="1:12" x14ac:dyDescent="0.25">
      <c r="A1445" s="1">
        <v>1446</v>
      </c>
      <c r="B1445" s="1">
        <v>539</v>
      </c>
      <c r="C1445" s="3" t="s">
        <v>63</v>
      </c>
      <c r="D1445" s="5" t="s">
        <v>22</v>
      </c>
      <c r="E1445" s="10">
        <v>2.0499999999999998</v>
      </c>
      <c r="F1445" s="10">
        <v>9.76</v>
      </c>
      <c r="G1445" s="10">
        <v>7.39</v>
      </c>
      <c r="H1445" s="10">
        <v>1.95</v>
      </c>
      <c r="I1445" s="8">
        <f t="shared" si="70"/>
        <v>2.9864834999999998</v>
      </c>
      <c r="K1445" s="8">
        <f t="shared" si="72"/>
        <v>17.430451799971838</v>
      </c>
      <c r="L1445" s="8">
        <f t="shared" si="71"/>
        <v>8.7152258999859189</v>
      </c>
    </row>
    <row r="1446" spans="1:12" x14ac:dyDescent="0.25">
      <c r="A1446" s="1">
        <v>1447</v>
      </c>
      <c r="B1446" s="1">
        <v>540</v>
      </c>
      <c r="C1446" s="3" t="s">
        <v>63</v>
      </c>
      <c r="D1446" s="5" t="s">
        <v>22</v>
      </c>
      <c r="E1446" s="10">
        <v>2.36</v>
      </c>
      <c r="F1446" s="10">
        <v>5.51</v>
      </c>
      <c r="G1446" s="10">
        <v>4.12</v>
      </c>
      <c r="H1446" s="10">
        <v>1.92</v>
      </c>
      <c r="I1446" s="8">
        <f t="shared" si="70"/>
        <v>2.8952985600000001</v>
      </c>
      <c r="K1446" s="8">
        <f t="shared" si="72"/>
        <v>5.2203695871628453</v>
      </c>
      <c r="L1446" s="8">
        <f t="shared" si="71"/>
        <v>2.6101847935814226</v>
      </c>
    </row>
    <row r="1447" spans="1:12" x14ac:dyDescent="0.25">
      <c r="A1447" s="1">
        <v>1448</v>
      </c>
      <c r="B1447" s="1">
        <v>541</v>
      </c>
      <c r="C1447" s="3" t="s">
        <v>63</v>
      </c>
      <c r="D1447" s="5" t="s">
        <v>22</v>
      </c>
      <c r="E1447" s="10">
        <v>1.97</v>
      </c>
      <c r="F1447" s="10">
        <v>5.21</v>
      </c>
      <c r="G1447" s="10">
        <v>8.15</v>
      </c>
      <c r="H1447" s="10">
        <v>1.68</v>
      </c>
      <c r="I1447" s="8">
        <f t="shared" si="70"/>
        <v>2.2167129599999997</v>
      </c>
      <c r="K1447" s="8">
        <f t="shared" si="72"/>
        <v>21.332147171641427</v>
      </c>
      <c r="L1447" s="8">
        <f t="shared" si="71"/>
        <v>10.666073585820714</v>
      </c>
    </row>
    <row r="1448" spans="1:12" x14ac:dyDescent="0.25">
      <c r="A1448" s="1">
        <v>1449</v>
      </c>
      <c r="B1448" s="1">
        <v>542</v>
      </c>
      <c r="C1448" s="3" t="s">
        <v>63</v>
      </c>
      <c r="D1448" s="5" t="s">
        <v>22</v>
      </c>
      <c r="E1448" s="10">
        <v>1.86</v>
      </c>
      <c r="F1448" s="10">
        <v>6.8</v>
      </c>
      <c r="G1448" s="10">
        <v>7.91</v>
      </c>
      <c r="H1448" s="10">
        <v>1.81</v>
      </c>
      <c r="I1448" s="8">
        <f t="shared" si="70"/>
        <v>2.5730489400000001</v>
      </c>
      <c r="K1448" s="8">
        <f t="shared" si="72"/>
        <v>20.056170793140382</v>
      </c>
      <c r="L1448" s="8">
        <f t="shared" si="71"/>
        <v>10.028085396570191</v>
      </c>
    </row>
    <row r="1449" spans="1:12" x14ac:dyDescent="0.25">
      <c r="A1449" s="1">
        <v>1450</v>
      </c>
      <c r="B1449" s="1">
        <v>543</v>
      </c>
      <c r="C1449" s="3" t="s">
        <v>63</v>
      </c>
      <c r="D1449" s="5" t="s">
        <v>22</v>
      </c>
      <c r="E1449" s="10">
        <v>2.2799999999999998</v>
      </c>
      <c r="F1449" s="10">
        <v>8.24</v>
      </c>
      <c r="G1449" s="10">
        <v>6.24</v>
      </c>
      <c r="H1449" s="10">
        <v>1.85</v>
      </c>
      <c r="I1449" s="8">
        <f t="shared" si="70"/>
        <v>2.6880315000000001</v>
      </c>
      <c r="K1449" s="8">
        <f t="shared" si="72"/>
        <v>12.294878644105678</v>
      </c>
      <c r="L1449" s="8">
        <f t="shared" si="71"/>
        <v>6.1474393220528389</v>
      </c>
    </row>
    <row r="1450" spans="1:12" x14ac:dyDescent="0.25">
      <c r="A1450" s="1">
        <v>1451</v>
      </c>
      <c r="B1450" s="1">
        <v>544</v>
      </c>
      <c r="C1450" s="3" t="s">
        <v>63</v>
      </c>
      <c r="D1450" s="5" t="s">
        <v>22</v>
      </c>
      <c r="E1450" s="10">
        <v>2.4</v>
      </c>
      <c r="F1450" s="10">
        <v>11.08</v>
      </c>
      <c r="G1450" s="10">
        <v>7.26</v>
      </c>
      <c r="H1450" s="10">
        <v>1.7</v>
      </c>
      <c r="I1450" s="8">
        <f t="shared" si="70"/>
        <v>2.2698059999999995</v>
      </c>
      <c r="K1450" s="8">
        <f t="shared" si="72"/>
        <v>16.803647496573323</v>
      </c>
      <c r="L1450" s="8">
        <f t="shared" si="71"/>
        <v>8.4018237482866613</v>
      </c>
    </row>
    <row r="1451" spans="1:12" x14ac:dyDescent="0.25">
      <c r="A1451" s="1">
        <v>1452</v>
      </c>
      <c r="B1451" s="1">
        <v>545</v>
      </c>
      <c r="C1451" s="3" t="s">
        <v>63</v>
      </c>
      <c r="D1451" s="5" t="s">
        <v>22</v>
      </c>
      <c r="E1451" s="10">
        <v>1.81</v>
      </c>
      <c r="F1451" s="10">
        <v>10.09</v>
      </c>
      <c r="G1451" s="10">
        <v>4.8899999999999997</v>
      </c>
      <c r="H1451" s="10">
        <v>1.74</v>
      </c>
      <c r="I1451" s="8">
        <f t="shared" si="70"/>
        <v>2.37787704</v>
      </c>
      <c r="K1451" s="8">
        <f t="shared" si="72"/>
        <v>7.4344642328565644</v>
      </c>
      <c r="L1451" s="8">
        <f t="shared" si="71"/>
        <v>3.7172321164282822</v>
      </c>
    </row>
    <row r="1452" spans="1:12" x14ac:dyDescent="0.25">
      <c r="A1452" s="1">
        <v>1453</v>
      </c>
      <c r="B1452" s="1">
        <v>546</v>
      </c>
      <c r="C1452" s="3" t="s">
        <v>63</v>
      </c>
      <c r="D1452" s="5" t="s">
        <v>22</v>
      </c>
      <c r="E1452" s="10">
        <v>1.43</v>
      </c>
      <c r="F1452" s="10">
        <v>10.199999999999999</v>
      </c>
      <c r="G1452" s="10">
        <v>5.83</v>
      </c>
      <c r="H1452" s="10">
        <v>1.7</v>
      </c>
      <c r="I1452" s="8">
        <f t="shared" si="70"/>
        <v>2.2698059999999995</v>
      </c>
      <c r="K1452" s="8">
        <f t="shared" si="72"/>
        <v>10.686067382309096</v>
      </c>
      <c r="L1452" s="8">
        <f t="shared" si="71"/>
        <v>5.343033691154548</v>
      </c>
    </row>
    <row r="1453" spans="1:12" x14ac:dyDescent="0.25">
      <c r="A1453" s="1">
        <v>1454</v>
      </c>
      <c r="B1453" s="1">
        <v>547</v>
      </c>
      <c r="C1453" s="3" t="s">
        <v>63</v>
      </c>
      <c r="D1453" s="5" t="s">
        <v>22</v>
      </c>
      <c r="E1453" s="10">
        <v>1.29</v>
      </c>
      <c r="F1453" s="10">
        <v>7.98</v>
      </c>
      <c r="G1453" s="10">
        <v>7.93</v>
      </c>
      <c r="H1453" s="10">
        <v>1.76</v>
      </c>
      <c r="I1453" s="8">
        <f t="shared" si="70"/>
        <v>2.4328550399999997</v>
      </c>
      <c r="K1453" s="8">
        <f t="shared" si="72"/>
        <v>20.160953485398025</v>
      </c>
      <c r="L1453" s="8">
        <f t="shared" si="71"/>
        <v>10.080476742699013</v>
      </c>
    </row>
    <row r="1454" spans="1:12" x14ac:dyDescent="0.25">
      <c r="A1454" s="1">
        <v>1455</v>
      </c>
      <c r="B1454" s="1">
        <v>548</v>
      </c>
      <c r="C1454" s="3" t="s">
        <v>63</v>
      </c>
      <c r="D1454" s="5" t="s">
        <v>22</v>
      </c>
      <c r="E1454" s="10">
        <v>1.44</v>
      </c>
      <c r="F1454" s="10">
        <v>7.42</v>
      </c>
      <c r="G1454" s="10">
        <v>5.76</v>
      </c>
      <c r="H1454" s="10">
        <v>1.84</v>
      </c>
      <c r="I1454" s="8">
        <f t="shared" si="70"/>
        <v>2.65905024</v>
      </c>
      <c r="K1454" s="8">
        <f t="shared" si="72"/>
        <v>10.422997657250791</v>
      </c>
      <c r="L1454" s="8">
        <f t="shared" si="71"/>
        <v>5.2114988286253956</v>
      </c>
    </row>
    <row r="1455" spans="1:12" x14ac:dyDescent="0.25">
      <c r="A1455" s="1">
        <v>1456</v>
      </c>
      <c r="B1455" s="1">
        <v>549</v>
      </c>
      <c r="C1455" s="3" t="s">
        <v>63</v>
      </c>
      <c r="D1455" s="5" t="s">
        <v>22</v>
      </c>
      <c r="E1455" s="10">
        <v>1.33</v>
      </c>
      <c r="F1455" s="10">
        <v>7.6</v>
      </c>
      <c r="G1455" s="10">
        <v>5.15</v>
      </c>
      <c r="H1455" s="10">
        <v>2.09</v>
      </c>
      <c r="I1455" s="8">
        <f t="shared" si="70"/>
        <v>3.4307057399999992</v>
      </c>
      <c r="K1455" s="8">
        <f t="shared" si="72"/>
        <v>8.2732293262337038</v>
      </c>
      <c r="L1455" s="8">
        <f t="shared" si="71"/>
        <v>4.1366146631168519</v>
      </c>
    </row>
    <row r="1456" spans="1:12" x14ac:dyDescent="0.25">
      <c r="A1456" s="1">
        <v>1457</v>
      </c>
      <c r="B1456" s="1">
        <v>550</v>
      </c>
      <c r="C1456" s="3" t="s">
        <v>63</v>
      </c>
      <c r="D1456" s="5" t="s">
        <v>22</v>
      </c>
      <c r="E1456" s="10">
        <v>1.47</v>
      </c>
      <c r="F1456" s="10">
        <v>11.91</v>
      </c>
      <c r="G1456" s="10">
        <v>5.97</v>
      </c>
      <c r="H1456" s="10">
        <v>1.82</v>
      </c>
      <c r="I1456" s="8">
        <f t="shared" si="70"/>
        <v>2.6015589600000002</v>
      </c>
      <c r="K1456" s="8">
        <f t="shared" si="72"/>
        <v>11.222351773700685</v>
      </c>
      <c r="L1456" s="8">
        <f t="shared" si="71"/>
        <v>5.6111758868503427</v>
      </c>
    </row>
    <row r="1457" spans="1:12" x14ac:dyDescent="0.25">
      <c r="A1457" s="1">
        <v>1458</v>
      </c>
      <c r="B1457" s="1">
        <v>551</v>
      </c>
      <c r="C1457" s="3" t="s">
        <v>63</v>
      </c>
      <c r="D1457" s="5" t="s">
        <v>22</v>
      </c>
      <c r="E1457" s="10">
        <v>1.99</v>
      </c>
      <c r="F1457" s="10">
        <v>5.28</v>
      </c>
      <c r="G1457" s="10">
        <v>7.97</v>
      </c>
      <c r="H1457" s="10">
        <v>1.97</v>
      </c>
      <c r="I1457" s="8">
        <f t="shared" si="70"/>
        <v>3.0480588599999998</v>
      </c>
      <c r="K1457" s="8">
        <f t="shared" si="72"/>
        <v>20.371363197636004</v>
      </c>
      <c r="L1457" s="8">
        <f t="shared" si="71"/>
        <v>10.185681598818002</v>
      </c>
    </row>
    <row r="1458" spans="1:12" x14ac:dyDescent="0.25">
      <c r="A1458" s="1">
        <v>1459</v>
      </c>
      <c r="B1458" s="1">
        <v>552</v>
      </c>
      <c r="C1458" s="3" t="s">
        <v>63</v>
      </c>
      <c r="D1458" s="5" t="s">
        <v>22</v>
      </c>
      <c r="E1458" s="10">
        <v>1.22</v>
      </c>
      <c r="F1458" s="10">
        <v>11.07</v>
      </c>
      <c r="G1458" s="10">
        <v>5.01</v>
      </c>
      <c r="H1458" s="10">
        <v>1.77</v>
      </c>
      <c r="I1458" s="8">
        <f t="shared" si="70"/>
        <v>2.4605796600000001</v>
      </c>
      <c r="K1458" s="8">
        <f t="shared" si="72"/>
        <v>7.8158459871753543</v>
      </c>
      <c r="L1458" s="8">
        <f t="shared" si="71"/>
        <v>3.9079229935876771</v>
      </c>
    </row>
    <row r="1459" spans="1:12" x14ac:dyDescent="0.25">
      <c r="A1459" s="1">
        <v>1460</v>
      </c>
      <c r="B1459" s="1">
        <v>553</v>
      </c>
      <c r="C1459" s="3" t="s">
        <v>63</v>
      </c>
      <c r="D1459" s="5" t="s">
        <v>22</v>
      </c>
      <c r="E1459" s="10">
        <v>1.87</v>
      </c>
      <c r="F1459" s="10">
        <v>9.0500000000000007</v>
      </c>
      <c r="G1459" s="10">
        <v>4.04</v>
      </c>
      <c r="H1459" s="10">
        <v>1.95</v>
      </c>
      <c r="I1459" s="8">
        <f t="shared" si="70"/>
        <v>2.9864834999999998</v>
      </c>
      <c r="K1459" s="8">
        <f t="shared" si="72"/>
        <v>5.0133588560936664</v>
      </c>
      <c r="L1459" s="8">
        <f t="shared" si="71"/>
        <v>2.5066794280468332</v>
      </c>
    </row>
    <row r="1460" spans="1:12" x14ac:dyDescent="0.25">
      <c r="A1460" s="1">
        <v>1461</v>
      </c>
      <c r="B1460" s="1">
        <v>554</v>
      </c>
      <c r="C1460" s="3" t="s">
        <v>63</v>
      </c>
      <c r="D1460" s="5" t="s">
        <v>22</v>
      </c>
      <c r="E1460" s="10">
        <v>2.0699999999999998</v>
      </c>
      <c r="F1460" s="10">
        <v>8.07</v>
      </c>
      <c r="G1460" s="10">
        <v>7.27</v>
      </c>
      <c r="H1460" s="10">
        <v>1.83</v>
      </c>
      <c r="I1460" s="8">
        <f t="shared" si="70"/>
        <v>2.6302260600000005</v>
      </c>
      <c r="K1460" s="8">
        <f t="shared" si="72"/>
        <v>16.851443259857604</v>
      </c>
      <c r="L1460" s="8">
        <f t="shared" si="71"/>
        <v>8.4257216299288018</v>
      </c>
    </row>
    <row r="1461" spans="1:12" x14ac:dyDescent="0.25">
      <c r="A1461" s="1">
        <v>1462</v>
      </c>
      <c r="B1461" s="1">
        <v>555</v>
      </c>
      <c r="C1461" s="3" t="s">
        <v>63</v>
      </c>
      <c r="D1461" s="5" t="s">
        <v>22</v>
      </c>
      <c r="E1461" s="10">
        <v>2.11</v>
      </c>
      <c r="F1461" s="10">
        <v>10.08</v>
      </c>
      <c r="G1461" s="10">
        <v>7.96</v>
      </c>
      <c r="H1461" s="10">
        <v>2.08</v>
      </c>
      <c r="I1461" s="8">
        <f t="shared" si="70"/>
        <v>3.3979545600000005</v>
      </c>
      <c r="K1461" s="8">
        <f t="shared" si="72"/>
        <v>20.31865521454721</v>
      </c>
      <c r="L1461" s="8">
        <f t="shared" si="71"/>
        <v>10.159327607273605</v>
      </c>
    </row>
    <row r="1462" spans="1:12" x14ac:dyDescent="0.25">
      <c r="A1462" s="1">
        <v>1463</v>
      </c>
      <c r="B1462" s="1">
        <v>556</v>
      </c>
      <c r="C1462" s="3" t="s">
        <v>63</v>
      </c>
      <c r="D1462" s="5" t="s">
        <v>22</v>
      </c>
      <c r="E1462" s="10">
        <v>2.3199999999999998</v>
      </c>
      <c r="F1462" s="10">
        <v>8.41</v>
      </c>
      <c r="G1462" s="10">
        <v>3.6</v>
      </c>
      <c r="H1462" s="10">
        <v>1.76</v>
      </c>
      <c r="I1462" s="8">
        <f t="shared" si="70"/>
        <v>2.4328550399999997</v>
      </c>
      <c r="K1462" s="8">
        <f t="shared" si="72"/>
        <v>3.9517645040000882</v>
      </c>
      <c r="L1462" s="8">
        <f t="shared" si="71"/>
        <v>1.9758822520000441</v>
      </c>
    </row>
    <row r="1463" spans="1:12" x14ac:dyDescent="0.25">
      <c r="A1463" s="1">
        <v>1464</v>
      </c>
      <c r="B1463" s="1">
        <v>557</v>
      </c>
      <c r="C1463" s="3" t="s">
        <v>63</v>
      </c>
      <c r="D1463" s="5" t="s">
        <v>22</v>
      </c>
      <c r="E1463" s="10">
        <v>1.77</v>
      </c>
      <c r="F1463" s="10">
        <v>11.11</v>
      </c>
      <c r="G1463" s="10">
        <v>4.4400000000000004</v>
      </c>
      <c r="H1463" s="10">
        <v>1.8</v>
      </c>
      <c r="I1463" s="8">
        <f t="shared" si="70"/>
        <v>2.5446960000000001</v>
      </c>
      <c r="K1463" s="8">
        <f t="shared" si="72"/>
        <v>6.0916592820792097</v>
      </c>
      <c r="L1463" s="8">
        <f t="shared" si="71"/>
        <v>3.0458296410396049</v>
      </c>
    </row>
    <row r="1464" spans="1:12" x14ac:dyDescent="0.25">
      <c r="A1464" s="1">
        <v>1465</v>
      </c>
      <c r="B1464" s="1">
        <v>558</v>
      </c>
      <c r="C1464" s="3" t="s">
        <v>63</v>
      </c>
      <c r="D1464" s="5" t="s">
        <v>22</v>
      </c>
      <c r="E1464" s="10">
        <v>1.22</v>
      </c>
      <c r="F1464" s="10">
        <v>11.3</v>
      </c>
      <c r="G1464" s="10">
        <v>3.85</v>
      </c>
      <c r="H1464" s="10">
        <v>1.83</v>
      </c>
      <c r="I1464" s="8">
        <f t="shared" si="70"/>
        <v>2.6302260600000005</v>
      </c>
      <c r="K1464" s="8">
        <f t="shared" si="72"/>
        <v>4.5389882756530318</v>
      </c>
      <c r="L1464" s="8">
        <f t="shared" si="71"/>
        <v>2.2694941378265159</v>
      </c>
    </row>
    <row r="1465" spans="1:12" x14ac:dyDescent="0.25">
      <c r="A1465" s="1">
        <v>1466</v>
      </c>
      <c r="B1465" s="1">
        <v>559</v>
      </c>
      <c r="C1465" s="3" t="s">
        <v>63</v>
      </c>
      <c r="D1465" s="5" t="s">
        <v>22</v>
      </c>
      <c r="E1465" s="10">
        <v>1.21</v>
      </c>
      <c r="F1465" s="10">
        <v>7.95</v>
      </c>
      <c r="G1465" s="10">
        <v>5.09</v>
      </c>
      <c r="H1465" s="10">
        <v>2.0499999999999998</v>
      </c>
      <c r="I1465" s="8">
        <f t="shared" si="70"/>
        <v>3.3006434999999996</v>
      </c>
      <c r="K1465" s="8">
        <f t="shared" si="72"/>
        <v>8.0755663453462585</v>
      </c>
      <c r="L1465" s="8">
        <f t="shared" si="71"/>
        <v>4.0377831726731293</v>
      </c>
    </row>
    <row r="1466" spans="1:12" x14ac:dyDescent="0.25">
      <c r="A1466" s="1">
        <v>1467</v>
      </c>
      <c r="B1466" s="1">
        <v>560</v>
      </c>
      <c r="C1466" s="3" t="s">
        <v>63</v>
      </c>
      <c r="D1466" s="5" t="s">
        <v>22</v>
      </c>
      <c r="E1466" s="10">
        <v>1.73</v>
      </c>
      <c r="F1466" s="10">
        <v>6.94</v>
      </c>
      <c r="G1466" s="10">
        <v>5.7</v>
      </c>
      <c r="H1466" s="10">
        <v>1.71</v>
      </c>
      <c r="I1466" s="8">
        <f t="shared" si="70"/>
        <v>2.2965881399999999</v>
      </c>
      <c r="K1466" s="8">
        <f t="shared" si="72"/>
        <v>10.200198192245225</v>
      </c>
      <c r="L1466" s="8">
        <f t="shared" si="71"/>
        <v>5.1000990961226123</v>
      </c>
    </row>
    <row r="1467" spans="1:12" x14ac:dyDescent="0.25">
      <c r="A1467" s="1">
        <v>1468</v>
      </c>
      <c r="B1467" s="1">
        <v>561</v>
      </c>
      <c r="C1467" s="3" t="s">
        <v>63</v>
      </c>
      <c r="D1467" s="5" t="s">
        <v>22</v>
      </c>
      <c r="E1467" s="10">
        <v>1.22</v>
      </c>
      <c r="F1467" s="10">
        <v>9.15</v>
      </c>
      <c r="G1467" s="10">
        <v>7.49</v>
      </c>
      <c r="H1467" s="10">
        <v>1.82</v>
      </c>
      <c r="I1467" s="8">
        <f t="shared" si="70"/>
        <v>2.6015589600000002</v>
      </c>
      <c r="K1467" s="8">
        <f t="shared" si="72"/>
        <v>17.920663143391547</v>
      </c>
      <c r="L1467" s="8">
        <f t="shared" si="71"/>
        <v>8.9603315716957734</v>
      </c>
    </row>
    <row r="1468" spans="1:12" x14ac:dyDescent="0.25">
      <c r="A1468" s="1">
        <v>1469</v>
      </c>
      <c r="B1468" s="1">
        <v>562</v>
      </c>
      <c r="C1468" s="3" t="s">
        <v>63</v>
      </c>
      <c r="D1468" s="5" t="s">
        <v>22</v>
      </c>
      <c r="E1468" s="10">
        <v>1.1499999999999999</v>
      </c>
      <c r="F1468" s="10">
        <v>11.39</v>
      </c>
      <c r="G1468" s="10">
        <v>6.91</v>
      </c>
      <c r="H1468" s="10">
        <v>2.09</v>
      </c>
      <c r="I1468" s="8">
        <f t="shared" si="70"/>
        <v>3.4307057399999992</v>
      </c>
      <c r="K1468" s="8">
        <f t="shared" si="72"/>
        <v>15.174828668281439</v>
      </c>
      <c r="L1468" s="8">
        <f t="shared" si="71"/>
        <v>7.5874143341407194</v>
      </c>
    </row>
    <row r="1469" spans="1:12" x14ac:dyDescent="0.25">
      <c r="A1469" s="1">
        <v>1470</v>
      </c>
      <c r="B1469" s="1">
        <v>563</v>
      </c>
      <c r="C1469" s="3" t="s">
        <v>63</v>
      </c>
      <c r="D1469" s="5" t="s">
        <v>22</v>
      </c>
      <c r="E1469" s="10">
        <v>1.74</v>
      </c>
      <c r="F1469" s="10">
        <v>6.47</v>
      </c>
      <c r="G1469" s="10">
        <v>6.73</v>
      </c>
      <c r="H1469" s="10">
        <v>1.91</v>
      </c>
      <c r="I1469" s="8">
        <f t="shared" si="70"/>
        <v>2.8652177399999998</v>
      </c>
      <c r="K1469" s="8">
        <f t="shared" si="72"/>
        <v>14.370435529325023</v>
      </c>
      <c r="L1469" s="8">
        <f t="shared" si="71"/>
        <v>7.1852177646625117</v>
      </c>
    </row>
    <row r="1470" spans="1:12" x14ac:dyDescent="0.25">
      <c r="A1470" s="1">
        <v>1471</v>
      </c>
      <c r="B1470" s="1">
        <v>564</v>
      </c>
      <c r="C1470" s="3" t="s">
        <v>63</v>
      </c>
      <c r="D1470" s="5" t="s">
        <v>22</v>
      </c>
      <c r="E1470" s="10">
        <v>1.38</v>
      </c>
      <c r="F1470" s="10">
        <v>9.36</v>
      </c>
      <c r="G1470" s="10">
        <v>5.1100000000000003</v>
      </c>
      <c r="H1470" s="10">
        <v>1.9</v>
      </c>
      <c r="I1470" s="8">
        <f t="shared" si="70"/>
        <v>2.8352939999999998</v>
      </c>
      <c r="K1470" s="8">
        <f t="shared" si="72"/>
        <v>8.1411803002141259</v>
      </c>
      <c r="L1470" s="8">
        <f t="shared" si="71"/>
        <v>4.0705901501070629</v>
      </c>
    </row>
    <row r="1471" spans="1:12" x14ac:dyDescent="0.25">
      <c r="A1471" s="1">
        <v>1472</v>
      </c>
      <c r="B1471" s="1">
        <v>565</v>
      </c>
      <c r="C1471" s="3" t="s">
        <v>63</v>
      </c>
      <c r="D1471" s="5" t="s">
        <v>22</v>
      </c>
      <c r="E1471" s="10">
        <v>1.1399999999999999</v>
      </c>
      <c r="F1471" s="10">
        <v>9.42</v>
      </c>
      <c r="G1471" s="10">
        <v>8.0500000000000007</v>
      </c>
      <c r="H1471" s="10">
        <v>1.84</v>
      </c>
      <c r="I1471" s="8">
        <f t="shared" si="70"/>
        <v>2.65905024</v>
      </c>
      <c r="K1471" s="8">
        <f t="shared" si="72"/>
        <v>20.795561189807074</v>
      </c>
      <c r="L1471" s="8">
        <f t="shared" si="71"/>
        <v>10.397780594903537</v>
      </c>
    </row>
    <row r="1472" spans="1:12" x14ac:dyDescent="0.25">
      <c r="A1472" s="1">
        <v>1473</v>
      </c>
      <c r="B1472" s="1">
        <v>566</v>
      </c>
      <c r="C1472" s="3" t="s">
        <v>63</v>
      </c>
      <c r="D1472" s="5" t="s">
        <v>22</v>
      </c>
      <c r="E1472" s="10">
        <v>1.91</v>
      </c>
      <c r="F1472" s="10">
        <v>10.130000000000001</v>
      </c>
      <c r="G1472" s="10">
        <v>5.83</v>
      </c>
      <c r="H1472" s="10">
        <v>1.71</v>
      </c>
      <c r="I1472" s="8">
        <f t="shared" si="70"/>
        <v>2.2965881399999999</v>
      </c>
      <c r="K1472" s="8">
        <f t="shared" si="72"/>
        <v>10.686067382309096</v>
      </c>
      <c r="L1472" s="8">
        <f t="shared" si="71"/>
        <v>5.343033691154548</v>
      </c>
    </row>
    <row r="1473" spans="1:12" x14ac:dyDescent="0.25">
      <c r="A1473" s="1">
        <v>1474</v>
      </c>
      <c r="B1473" s="1">
        <v>567</v>
      </c>
      <c r="C1473" s="3" t="s">
        <v>63</v>
      </c>
      <c r="D1473" s="5" t="s">
        <v>22</v>
      </c>
      <c r="E1473" s="10">
        <v>1.34</v>
      </c>
      <c r="F1473" s="10">
        <v>5.92</v>
      </c>
      <c r="G1473" s="10">
        <v>8.8699999999999992</v>
      </c>
      <c r="H1473" s="10">
        <v>1.87</v>
      </c>
      <c r="I1473" s="8">
        <f t="shared" ref="I1473:I1536" si="73">0.7854*H1473^2</f>
        <v>2.7464652600000004</v>
      </c>
      <c r="K1473" s="8">
        <f t="shared" si="72"/>
        <v>25.403949171702507</v>
      </c>
      <c r="L1473" s="8">
        <f t="shared" ref="L1473:L1536" si="74">K1473*0.5</f>
        <v>12.701974585851254</v>
      </c>
    </row>
    <row r="1474" spans="1:12" x14ac:dyDescent="0.25">
      <c r="A1474" s="1">
        <v>1475</v>
      </c>
      <c r="B1474" s="1">
        <v>568</v>
      </c>
      <c r="C1474" s="3" t="s">
        <v>63</v>
      </c>
      <c r="D1474" s="5" t="s">
        <v>22</v>
      </c>
      <c r="E1474" s="10">
        <v>2.23</v>
      </c>
      <c r="F1474" s="10">
        <v>10.01</v>
      </c>
      <c r="G1474" s="10">
        <v>6.8</v>
      </c>
      <c r="H1474" s="10">
        <v>1.9</v>
      </c>
      <c r="I1474" s="8">
        <f t="shared" si="73"/>
        <v>2.8352939999999998</v>
      </c>
      <c r="K1474" s="8">
        <f t="shared" si="72"/>
        <v>14.680572325367066</v>
      </c>
      <c r="L1474" s="8">
        <f t="shared" si="74"/>
        <v>7.3402861626835332</v>
      </c>
    </row>
    <row r="1475" spans="1:12" x14ac:dyDescent="0.25">
      <c r="A1475" s="1">
        <v>1476</v>
      </c>
      <c r="B1475" s="1">
        <v>569</v>
      </c>
      <c r="C1475" s="3" t="s">
        <v>63</v>
      </c>
      <c r="D1475" s="5" t="s">
        <v>22</v>
      </c>
      <c r="E1475" s="10">
        <v>2.25</v>
      </c>
      <c r="F1475" s="10">
        <v>11.36</v>
      </c>
      <c r="G1475" s="10">
        <v>3.76</v>
      </c>
      <c r="H1475" s="10">
        <v>1.99</v>
      </c>
      <c r="I1475" s="8">
        <f t="shared" si="73"/>
        <v>3.1102625399999999</v>
      </c>
      <c r="K1475" s="8">
        <f t="shared" si="72"/>
        <v>4.3227584022506305</v>
      </c>
      <c r="L1475" s="8">
        <f t="shared" si="74"/>
        <v>2.1613792011253152</v>
      </c>
    </row>
    <row r="1476" spans="1:12" x14ac:dyDescent="0.25">
      <c r="A1476" s="1">
        <v>1477</v>
      </c>
      <c r="B1476" s="1">
        <v>570</v>
      </c>
      <c r="C1476" s="3" t="s">
        <v>63</v>
      </c>
      <c r="D1476" s="5" t="s">
        <v>22</v>
      </c>
      <c r="E1476" s="10">
        <v>1.32</v>
      </c>
      <c r="F1476" s="10">
        <v>6.26</v>
      </c>
      <c r="G1476" s="10">
        <v>7.06</v>
      </c>
      <c r="H1476" s="10">
        <v>2.08</v>
      </c>
      <c r="I1476" s="8">
        <f t="shared" si="73"/>
        <v>3.3979545600000005</v>
      </c>
      <c r="K1476" s="8">
        <f t="shared" si="72"/>
        <v>15.862416399622118</v>
      </c>
      <c r="L1476" s="8">
        <f t="shared" si="74"/>
        <v>7.9312081998110591</v>
      </c>
    </row>
    <row r="1477" spans="1:12" x14ac:dyDescent="0.25">
      <c r="A1477" s="1">
        <v>1478</v>
      </c>
      <c r="B1477" s="1">
        <v>571</v>
      </c>
      <c r="C1477" s="3" t="s">
        <v>63</v>
      </c>
      <c r="D1477" s="5" t="s">
        <v>22</v>
      </c>
      <c r="E1477" s="10">
        <v>2.1</v>
      </c>
      <c r="F1477" s="10">
        <v>6.66</v>
      </c>
      <c r="G1477" s="10">
        <v>4.95</v>
      </c>
      <c r="H1477" s="10">
        <v>2.0299999999999998</v>
      </c>
      <c r="I1477" s="8">
        <f t="shared" si="73"/>
        <v>3.2365548599999991</v>
      </c>
      <c r="K1477" s="8">
        <f t="shared" si="72"/>
        <v>7.6239260235624702</v>
      </c>
      <c r="L1477" s="8">
        <f t="shared" si="74"/>
        <v>3.8119630117812351</v>
      </c>
    </row>
    <row r="1478" spans="1:12" x14ac:dyDescent="0.25">
      <c r="A1478" s="1">
        <v>1479</v>
      </c>
      <c r="B1478" s="1">
        <v>572</v>
      </c>
      <c r="C1478" s="3" t="s">
        <v>63</v>
      </c>
      <c r="D1478" s="5" t="s">
        <v>22</v>
      </c>
      <c r="E1478" s="10">
        <v>1.68</v>
      </c>
      <c r="F1478" s="10">
        <v>11.8</v>
      </c>
      <c r="G1478" s="10">
        <v>7.12</v>
      </c>
      <c r="H1478" s="10">
        <v>1.77</v>
      </c>
      <c r="I1478" s="8">
        <f t="shared" si="73"/>
        <v>2.4605796600000001</v>
      </c>
      <c r="K1478" s="8">
        <f t="shared" si="72"/>
        <v>16.141850193901341</v>
      </c>
      <c r="L1478" s="8">
        <f t="shared" si="74"/>
        <v>8.0709250969506705</v>
      </c>
    </row>
    <row r="1479" spans="1:12" x14ac:dyDescent="0.25">
      <c r="A1479" s="1">
        <v>1480</v>
      </c>
      <c r="B1479" s="1">
        <v>573</v>
      </c>
      <c r="C1479" s="3" t="s">
        <v>63</v>
      </c>
      <c r="D1479" s="5" t="s">
        <v>22</v>
      </c>
      <c r="E1479" s="10">
        <v>1.8</v>
      </c>
      <c r="F1479" s="10">
        <v>6.27</v>
      </c>
      <c r="G1479" s="10">
        <v>3.42</v>
      </c>
      <c r="H1479" s="10">
        <v>1.81</v>
      </c>
      <c r="I1479" s="8">
        <f t="shared" si="73"/>
        <v>2.5730489400000001</v>
      </c>
      <c r="K1479" s="8">
        <f t="shared" si="72"/>
        <v>3.5548699349452444</v>
      </c>
      <c r="L1479" s="8">
        <f t="shared" si="74"/>
        <v>1.7774349674726222</v>
      </c>
    </row>
    <row r="1480" spans="1:12" x14ac:dyDescent="0.25">
      <c r="A1480" s="1">
        <v>1481</v>
      </c>
      <c r="B1480" s="1">
        <v>574</v>
      </c>
      <c r="C1480" s="3" t="s">
        <v>63</v>
      </c>
      <c r="D1480" s="5" t="s">
        <v>22</v>
      </c>
      <c r="E1480" s="10">
        <v>2.39</v>
      </c>
      <c r="F1480" s="10">
        <v>10.98</v>
      </c>
      <c r="G1480" s="10">
        <v>4.05</v>
      </c>
      <c r="H1480" s="10">
        <v>1.93</v>
      </c>
      <c r="I1480" s="8">
        <f t="shared" si="73"/>
        <v>2.92553646</v>
      </c>
      <c r="K1480" s="8">
        <f t="shared" si="72"/>
        <v>5.0389991606024687</v>
      </c>
      <c r="L1480" s="8">
        <f t="shared" si="74"/>
        <v>2.5194995803012343</v>
      </c>
    </row>
    <row r="1481" spans="1:12" x14ac:dyDescent="0.25">
      <c r="A1481" s="1">
        <v>1482</v>
      </c>
      <c r="B1481" s="1">
        <v>575</v>
      </c>
      <c r="C1481" s="3" t="s">
        <v>63</v>
      </c>
      <c r="D1481" s="5" t="s">
        <v>22</v>
      </c>
      <c r="E1481" s="10">
        <v>2.1</v>
      </c>
      <c r="F1481" s="10">
        <v>8.4499999999999993</v>
      </c>
      <c r="G1481" s="10">
        <v>8.1300000000000008</v>
      </c>
      <c r="H1481" s="10">
        <v>1.73</v>
      </c>
      <c r="I1481" s="8">
        <f t="shared" si="73"/>
        <v>2.3506236600000001</v>
      </c>
      <c r="K1481" s="8">
        <f t="shared" si="72"/>
        <v>21.224266317459797</v>
      </c>
      <c r="L1481" s="8">
        <f t="shared" si="74"/>
        <v>10.612133158729899</v>
      </c>
    </row>
    <row r="1482" spans="1:12" x14ac:dyDescent="0.25">
      <c r="A1482" s="1">
        <v>1483</v>
      </c>
      <c r="B1482" s="1">
        <v>576</v>
      </c>
      <c r="C1482" s="3" t="s">
        <v>63</v>
      </c>
      <c r="D1482" s="5" t="s">
        <v>22</v>
      </c>
      <c r="E1482" s="10">
        <v>1.77</v>
      </c>
      <c r="F1482" s="10">
        <v>6.73</v>
      </c>
      <c r="G1482" s="10">
        <v>4.3600000000000003</v>
      </c>
      <c r="H1482" s="10">
        <v>1.99</v>
      </c>
      <c r="I1482" s="8">
        <f t="shared" si="73"/>
        <v>3.1102625399999999</v>
      </c>
      <c r="K1482" s="8">
        <f t="shared" si="72"/>
        <v>5.8673394706325999</v>
      </c>
      <c r="L1482" s="8">
        <f t="shared" si="74"/>
        <v>2.9336697353162999</v>
      </c>
    </row>
    <row r="1483" spans="1:12" x14ac:dyDescent="0.25">
      <c r="A1483" s="1">
        <v>1484</v>
      </c>
      <c r="B1483" s="1">
        <v>577</v>
      </c>
      <c r="C1483" s="3" t="s">
        <v>63</v>
      </c>
      <c r="D1483" s="5" t="s">
        <v>22</v>
      </c>
      <c r="E1483" s="10">
        <v>1.91</v>
      </c>
      <c r="F1483" s="10">
        <v>11.1</v>
      </c>
      <c r="G1483" s="10">
        <v>8.02</v>
      </c>
      <c r="H1483" s="10">
        <v>2.0699999999999998</v>
      </c>
      <c r="I1483" s="8">
        <f t="shared" si="73"/>
        <v>3.3653604599999993</v>
      </c>
      <c r="K1483" s="8">
        <f t="shared" si="72"/>
        <v>20.635958915706151</v>
      </c>
      <c r="L1483" s="8">
        <f t="shared" si="74"/>
        <v>10.317979457853076</v>
      </c>
    </row>
    <row r="1484" spans="1:12" x14ac:dyDescent="0.25">
      <c r="A1484" s="1">
        <v>1485</v>
      </c>
      <c r="B1484" s="1">
        <v>578</v>
      </c>
      <c r="C1484" s="3" t="s">
        <v>63</v>
      </c>
      <c r="D1484" s="5" t="s">
        <v>22</v>
      </c>
      <c r="E1484" s="10">
        <v>2.0499999999999998</v>
      </c>
      <c r="F1484" s="10">
        <v>8.1199999999999992</v>
      </c>
      <c r="G1484" s="10">
        <v>4.68</v>
      </c>
      <c r="H1484" s="10">
        <v>1.68</v>
      </c>
      <c r="I1484" s="8">
        <f t="shared" si="73"/>
        <v>2.2167129599999997</v>
      </c>
      <c r="K1484" s="8">
        <f t="shared" ref="K1484:K1547" si="75">0.2811*G1484^2.0635</f>
        <v>6.7906784037719463</v>
      </c>
      <c r="L1484" s="8">
        <f t="shared" si="74"/>
        <v>3.3953392018859732</v>
      </c>
    </row>
    <row r="1485" spans="1:12" x14ac:dyDescent="0.25">
      <c r="A1485" s="1">
        <v>1486</v>
      </c>
      <c r="B1485" s="1">
        <v>579</v>
      </c>
      <c r="C1485" s="3" t="s">
        <v>63</v>
      </c>
      <c r="D1485" s="5" t="s">
        <v>22</v>
      </c>
      <c r="E1485" s="10">
        <v>2.17</v>
      </c>
      <c r="F1485" s="10">
        <v>8.6</v>
      </c>
      <c r="G1485" s="10">
        <v>6.86</v>
      </c>
      <c r="H1485" s="10">
        <v>1.98</v>
      </c>
      <c r="I1485" s="8">
        <f t="shared" si="73"/>
        <v>3.07908216</v>
      </c>
      <c r="K1485" s="8">
        <f t="shared" si="75"/>
        <v>14.949121042377246</v>
      </c>
      <c r="L1485" s="8">
        <f t="shared" si="74"/>
        <v>7.4745605211886232</v>
      </c>
    </row>
    <row r="1486" spans="1:12" x14ac:dyDescent="0.25">
      <c r="A1486" s="1">
        <v>1487</v>
      </c>
      <c r="B1486" s="1">
        <v>580</v>
      </c>
      <c r="C1486" s="3" t="s">
        <v>63</v>
      </c>
      <c r="D1486" s="5" t="s">
        <v>22</v>
      </c>
      <c r="E1486" s="10">
        <v>2.23</v>
      </c>
      <c r="F1486" s="10">
        <v>7.51</v>
      </c>
      <c r="G1486" s="10">
        <v>7.16</v>
      </c>
      <c r="H1486" s="10">
        <v>1.99</v>
      </c>
      <c r="I1486" s="8">
        <f t="shared" si="73"/>
        <v>3.1102625399999999</v>
      </c>
      <c r="K1486" s="8">
        <f t="shared" si="75"/>
        <v>16.329536849961485</v>
      </c>
      <c r="L1486" s="8">
        <f t="shared" si="74"/>
        <v>8.1647684249807426</v>
      </c>
    </row>
    <row r="1487" spans="1:12" x14ac:dyDescent="0.25">
      <c r="A1487" s="1">
        <v>1488</v>
      </c>
      <c r="B1487" s="1">
        <v>581</v>
      </c>
      <c r="C1487" s="3" t="s">
        <v>63</v>
      </c>
      <c r="D1487" s="5" t="s">
        <v>22</v>
      </c>
      <c r="E1487" s="10">
        <v>1.59</v>
      </c>
      <c r="F1487" s="10">
        <v>9.15</v>
      </c>
      <c r="G1487" s="10">
        <v>6.08</v>
      </c>
      <c r="H1487" s="10">
        <v>2.0699999999999998</v>
      </c>
      <c r="I1487" s="8">
        <f t="shared" si="73"/>
        <v>3.3653604599999993</v>
      </c>
      <c r="K1487" s="8">
        <f t="shared" si="75"/>
        <v>11.653218280097111</v>
      </c>
      <c r="L1487" s="8">
        <f t="shared" si="74"/>
        <v>5.8266091400485553</v>
      </c>
    </row>
    <row r="1488" spans="1:12" x14ac:dyDescent="0.25">
      <c r="A1488" s="1">
        <v>1489</v>
      </c>
      <c r="B1488" s="1">
        <v>582</v>
      </c>
      <c r="C1488" s="3" t="s">
        <v>63</v>
      </c>
      <c r="D1488" s="5" t="s">
        <v>22</v>
      </c>
      <c r="E1488" s="10">
        <v>2.37</v>
      </c>
      <c r="F1488" s="10">
        <v>6.14</v>
      </c>
      <c r="G1488" s="10">
        <v>4.83</v>
      </c>
      <c r="H1488" s="10">
        <v>1.94</v>
      </c>
      <c r="I1488" s="8">
        <f t="shared" si="73"/>
        <v>2.9559314399999996</v>
      </c>
      <c r="K1488" s="8">
        <f t="shared" si="75"/>
        <v>7.2474587121416629</v>
      </c>
      <c r="L1488" s="8">
        <f t="shared" si="74"/>
        <v>3.6237293560708315</v>
      </c>
    </row>
    <row r="1489" spans="1:12" x14ac:dyDescent="0.25">
      <c r="A1489" s="1">
        <v>1490</v>
      </c>
      <c r="B1489" s="1">
        <v>583</v>
      </c>
      <c r="C1489" s="3" t="s">
        <v>63</v>
      </c>
      <c r="D1489" s="5" t="s">
        <v>22</v>
      </c>
      <c r="E1489" s="10">
        <v>1.57</v>
      </c>
      <c r="F1489" s="10">
        <v>7.74</v>
      </c>
      <c r="G1489" s="10">
        <v>4.28</v>
      </c>
      <c r="H1489" s="10">
        <v>2</v>
      </c>
      <c r="I1489" s="8">
        <f t="shared" si="73"/>
        <v>3.1415999999999999</v>
      </c>
      <c r="K1489" s="8">
        <f t="shared" si="75"/>
        <v>5.6473546627061832</v>
      </c>
      <c r="L1489" s="8">
        <f t="shared" si="74"/>
        <v>2.8236773313530916</v>
      </c>
    </row>
    <row r="1490" spans="1:12" x14ac:dyDescent="0.25">
      <c r="A1490" s="1">
        <v>1491</v>
      </c>
      <c r="B1490" s="1">
        <v>584</v>
      </c>
      <c r="C1490" s="3" t="s">
        <v>63</v>
      </c>
      <c r="D1490" s="5" t="s">
        <v>22</v>
      </c>
      <c r="E1490" s="10">
        <v>2.13</v>
      </c>
      <c r="F1490" s="10">
        <v>11.79</v>
      </c>
      <c r="G1490" s="10">
        <v>3.2</v>
      </c>
      <c r="H1490" s="10">
        <v>1.77</v>
      </c>
      <c r="I1490" s="8">
        <f t="shared" si="73"/>
        <v>2.4605796600000001</v>
      </c>
      <c r="K1490" s="8">
        <f t="shared" si="75"/>
        <v>3.0991159548452765</v>
      </c>
      <c r="L1490" s="8">
        <f t="shared" si="74"/>
        <v>1.5495579774226382</v>
      </c>
    </row>
    <row r="1491" spans="1:12" x14ac:dyDescent="0.25">
      <c r="A1491" s="1">
        <v>1492</v>
      </c>
      <c r="B1491" s="1">
        <v>585</v>
      </c>
      <c r="C1491" s="3" t="s">
        <v>63</v>
      </c>
      <c r="D1491" s="5" t="s">
        <v>22</v>
      </c>
      <c r="E1491" s="10">
        <v>1.91</v>
      </c>
      <c r="F1491" s="10">
        <v>6.81</v>
      </c>
      <c r="G1491" s="10">
        <v>4.82</v>
      </c>
      <c r="H1491" s="10">
        <v>2.1</v>
      </c>
      <c r="I1491" s="8">
        <f t="shared" si="73"/>
        <v>3.4636140000000002</v>
      </c>
      <c r="K1491" s="8">
        <f t="shared" si="75"/>
        <v>7.2165297945497864</v>
      </c>
      <c r="L1491" s="8">
        <f t="shared" si="74"/>
        <v>3.6082648972748932</v>
      </c>
    </row>
    <row r="1492" spans="1:12" x14ac:dyDescent="0.25">
      <c r="A1492" s="1">
        <v>1493</v>
      </c>
      <c r="B1492" s="1">
        <v>586</v>
      </c>
      <c r="C1492" s="3" t="s">
        <v>63</v>
      </c>
      <c r="D1492" s="5" t="s">
        <v>22</v>
      </c>
      <c r="E1492" s="10">
        <v>1.21</v>
      </c>
      <c r="F1492" s="10">
        <v>9.6</v>
      </c>
      <c r="G1492" s="10">
        <v>6.92</v>
      </c>
      <c r="H1492" s="10">
        <v>1.7</v>
      </c>
      <c r="I1492" s="8">
        <f t="shared" si="73"/>
        <v>2.2698059999999995</v>
      </c>
      <c r="K1492" s="8">
        <f t="shared" si="75"/>
        <v>15.22017940113701</v>
      </c>
      <c r="L1492" s="8">
        <f t="shared" si="74"/>
        <v>7.6100897005685049</v>
      </c>
    </row>
    <row r="1493" spans="1:12" x14ac:dyDescent="0.25">
      <c r="A1493" s="1">
        <v>1494</v>
      </c>
      <c r="B1493" s="1">
        <v>587</v>
      </c>
      <c r="C1493" s="3" t="s">
        <v>63</v>
      </c>
      <c r="D1493" s="5" t="s">
        <v>22</v>
      </c>
      <c r="E1493" s="10">
        <v>1.58</v>
      </c>
      <c r="F1493" s="10">
        <v>7.28</v>
      </c>
      <c r="G1493" s="10">
        <v>8.6300000000000008</v>
      </c>
      <c r="H1493" s="10">
        <v>1.99</v>
      </c>
      <c r="I1493" s="8">
        <f t="shared" si="73"/>
        <v>3.1102625399999999</v>
      </c>
      <c r="K1493" s="8">
        <f t="shared" si="75"/>
        <v>24.005962456840059</v>
      </c>
      <c r="L1493" s="8">
        <f t="shared" si="74"/>
        <v>12.00298122842003</v>
      </c>
    </row>
    <row r="1494" spans="1:12" x14ac:dyDescent="0.25">
      <c r="A1494" s="1">
        <v>1495</v>
      </c>
      <c r="B1494" s="1">
        <v>588</v>
      </c>
      <c r="C1494" s="3" t="s">
        <v>63</v>
      </c>
      <c r="D1494" s="5" t="s">
        <v>22</v>
      </c>
      <c r="E1494" s="10">
        <v>1.1299999999999999</v>
      </c>
      <c r="F1494" s="10">
        <v>10.41</v>
      </c>
      <c r="G1494" s="10">
        <v>8.23</v>
      </c>
      <c r="H1494" s="10">
        <v>1.94</v>
      </c>
      <c r="I1494" s="8">
        <f t="shared" si="73"/>
        <v>2.9559314399999996</v>
      </c>
      <c r="K1494" s="8">
        <f t="shared" si="75"/>
        <v>21.766490196891606</v>
      </c>
      <c r="L1494" s="8">
        <f t="shared" si="74"/>
        <v>10.883245098445803</v>
      </c>
    </row>
    <row r="1495" spans="1:12" x14ac:dyDescent="0.25">
      <c r="A1495" s="1">
        <v>1496</v>
      </c>
      <c r="B1495" s="1">
        <v>589</v>
      </c>
      <c r="C1495" s="3" t="s">
        <v>63</v>
      </c>
      <c r="D1495" s="5" t="s">
        <v>22</v>
      </c>
      <c r="E1495" s="10">
        <v>1.47</v>
      </c>
      <c r="F1495" s="10">
        <v>5.92</v>
      </c>
      <c r="G1495" s="10">
        <v>7.6</v>
      </c>
      <c r="H1495" s="10">
        <v>1.81</v>
      </c>
      <c r="I1495" s="8">
        <f t="shared" si="73"/>
        <v>2.5730489400000001</v>
      </c>
      <c r="K1495" s="8">
        <f t="shared" si="75"/>
        <v>18.467992660324004</v>
      </c>
      <c r="L1495" s="8">
        <f t="shared" si="74"/>
        <v>9.2339963301620021</v>
      </c>
    </row>
    <row r="1496" spans="1:12" x14ac:dyDescent="0.25">
      <c r="A1496" s="1">
        <v>1497</v>
      </c>
      <c r="B1496" s="1">
        <v>590</v>
      </c>
      <c r="C1496" s="3" t="s">
        <v>63</v>
      </c>
      <c r="D1496" s="5" t="s">
        <v>22</v>
      </c>
      <c r="E1496" s="10">
        <v>1.66</v>
      </c>
      <c r="F1496" s="10">
        <v>11.79</v>
      </c>
      <c r="G1496" s="10">
        <v>7.73</v>
      </c>
      <c r="H1496" s="10">
        <v>1.78</v>
      </c>
      <c r="I1496" s="8">
        <f t="shared" si="73"/>
        <v>2.4884613600000001</v>
      </c>
      <c r="K1496" s="8">
        <f t="shared" si="75"/>
        <v>19.125783322328058</v>
      </c>
      <c r="L1496" s="8">
        <f t="shared" si="74"/>
        <v>9.5628916611640289</v>
      </c>
    </row>
    <row r="1497" spans="1:12" x14ac:dyDescent="0.25">
      <c r="A1497" s="1">
        <v>1498</v>
      </c>
      <c r="B1497" s="1">
        <v>591</v>
      </c>
      <c r="C1497" s="3" t="s">
        <v>63</v>
      </c>
      <c r="D1497" s="5" t="s">
        <v>22</v>
      </c>
      <c r="E1497" s="10">
        <v>1.41</v>
      </c>
      <c r="F1497" s="10">
        <v>8.18</v>
      </c>
      <c r="G1497" s="10">
        <v>6.99</v>
      </c>
      <c r="H1497" s="10">
        <v>1.7</v>
      </c>
      <c r="I1497" s="8">
        <f t="shared" si="73"/>
        <v>2.2698059999999995</v>
      </c>
      <c r="K1497" s="8">
        <f t="shared" si="75"/>
        <v>15.539587912696357</v>
      </c>
      <c r="L1497" s="8">
        <f t="shared" si="74"/>
        <v>7.7697939563481784</v>
      </c>
    </row>
    <row r="1498" spans="1:12" x14ac:dyDescent="0.25">
      <c r="A1498" s="1">
        <v>1499</v>
      </c>
      <c r="B1498" s="1">
        <v>592</v>
      </c>
      <c r="C1498" s="3" t="s">
        <v>63</v>
      </c>
      <c r="D1498" s="5" t="s">
        <v>22</v>
      </c>
      <c r="E1498" s="10">
        <v>1.17</v>
      </c>
      <c r="F1498" s="10">
        <v>6.65</v>
      </c>
      <c r="G1498" s="10">
        <v>4.5599999999999996</v>
      </c>
      <c r="H1498" s="10">
        <v>2.1</v>
      </c>
      <c r="I1498" s="8">
        <f t="shared" si="73"/>
        <v>3.4636140000000002</v>
      </c>
      <c r="K1498" s="8">
        <f t="shared" si="75"/>
        <v>6.436278063389703</v>
      </c>
      <c r="L1498" s="8">
        <f t="shared" si="74"/>
        <v>3.2181390316948515</v>
      </c>
    </row>
    <row r="1499" spans="1:12" x14ac:dyDescent="0.25">
      <c r="A1499" s="1">
        <v>1500</v>
      </c>
      <c r="B1499" s="1">
        <v>593</v>
      </c>
      <c r="C1499" s="3" t="s">
        <v>63</v>
      </c>
      <c r="D1499" s="5" t="s">
        <v>22</v>
      </c>
      <c r="E1499" s="10">
        <v>1.17</v>
      </c>
      <c r="F1499" s="10">
        <v>5.51</v>
      </c>
      <c r="G1499" s="10">
        <v>8.44</v>
      </c>
      <c r="H1499" s="10">
        <v>1.79</v>
      </c>
      <c r="I1499" s="8">
        <f t="shared" si="73"/>
        <v>2.5165001399999998</v>
      </c>
      <c r="K1499" s="8">
        <f t="shared" si="75"/>
        <v>22.928122015273225</v>
      </c>
      <c r="L1499" s="8">
        <f t="shared" si="74"/>
        <v>11.464061007636612</v>
      </c>
    </row>
    <row r="1500" spans="1:12" x14ac:dyDescent="0.25">
      <c r="A1500" s="1">
        <v>1501</v>
      </c>
      <c r="B1500" s="1">
        <v>594</v>
      </c>
      <c r="C1500" s="3" t="s">
        <v>63</v>
      </c>
      <c r="D1500" s="5" t="s">
        <v>22</v>
      </c>
      <c r="E1500" s="10">
        <v>1.1100000000000001</v>
      </c>
      <c r="F1500" s="10">
        <v>6.19</v>
      </c>
      <c r="G1500" s="10">
        <v>7.02</v>
      </c>
      <c r="H1500" s="10">
        <v>1.68</v>
      </c>
      <c r="I1500" s="8">
        <f t="shared" si="73"/>
        <v>2.2167129599999997</v>
      </c>
      <c r="K1500" s="8">
        <f t="shared" si="75"/>
        <v>15.677524079343854</v>
      </c>
      <c r="L1500" s="8">
        <f t="shared" si="74"/>
        <v>7.8387620396719271</v>
      </c>
    </row>
    <row r="1501" spans="1:12" x14ac:dyDescent="0.25">
      <c r="A1501" s="1">
        <v>1502</v>
      </c>
      <c r="B1501" s="1">
        <v>595</v>
      </c>
      <c r="C1501" s="3" t="s">
        <v>63</v>
      </c>
      <c r="D1501" s="5" t="s">
        <v>22</v>
      </c>
      <c r="E1501" s="10">
        <v>1.35</v>
      </c>
      <c r="F1501" s="10">
        <v>8.64</v>
      </c>
      <c r="G1501" s="10">
        <v>6.36</v>
      </c>
      <c r="H1501" s="10">
        <v>1.78</v>
      </c>
      <c r="I1501" s="8">
        <f t="shared" si="73"/>
        <v>2.4884613600000001</v>
      </c>
      <c r="K1501" s="8">
        <f t="shared" si="75"/>
        <v>12.787763736192748</v>
      </c>
      <c r="L1501" s="8">
        <f t="shared" si="74"/>
        <v>6.3938818680963738</v>
      </c>
    </row>
    <row r="1502" spans="1:12" x14ac:dyDescent="0.25">
      <c r="A1502" s="1">
        <v>1503</v>
      </c>
      <c r="B1502" s="1">
        <v>596</v>
      </c>
      <c r="C1502" s="3" t="s">
        <v>63</v>
      </c>
      <c r="D1502" s="5" t="s">
        <v>22</v>
      </c>
      <c r="E1502" s="10">
        <v>2.14</v>
      </c>
      <c r="F1502" s="10">
        <v>7.36</v>
      </c>
      <c r="G1502" s="10">
        <v>3.67</v>
      </c>
      <c r="H1502" s="10">
        <v>1.93</v>
      </c>
      <c r="I1502" s="8">
        <f t="shared" si="73"/>
        <v>2.92553646</v>
      </c>
      <c r="K1502" s="8">
        <f t="shared" si="75"/>
        <v>4.111963672497712</v>
      </c>
      <c r="L1502" s="8">
        <f t="shared" si="74"/>
        <v>2.055981836248856</v>
      </c>
    </row>
    <row r="1503" spans="1:12" x14ac:dyDescent="0.25">
      <c r="A1503" s="1">
        <v>1504</v>
      </c>
      <c r="B1503" s="1">
        <v>597</v>
      </c>
      <c r="C1503" s="3" t="s">
        <v>63</v>
      </c>
      <c r="D1503" s="5" t="s">
        <v>22</v>
      </c>
      <c r="E1503" s="10">
        <v>1.62</v>
      </c>
      <c r="F1503" s="10">
        <v>10.8</v>
      </c>
      <c r="G1503" s="10">
        <v>5.68</v>
      </c>
      <c r="H1503" s="10">
        <v>1.85</v>
      </c>
      <c r="I1503" s="8">
        <f t="shared" si="73"/>
        <v>2.6880315000000001</v>
      </c>
      <c r="K1503" s="8">
        <f t="shared" si="75"/>
        <v>10.126482962250186</v>
      </c>
      <c r="L1503" s="8">
        <f t="shared" si="74"/>
        <v>5.0632414811250932</v>
      </c>
    </row>
    <row r="1504" spans="1:12" x14ac:dyDescent="0.25">
      <c r="A1504" s="1">
        <v>1505</v>
      </c>
      <c r="B1504" s="1">
        <v>598</v>
      </c>
      <c r="C1504" s="3" t="s">
        <v>63</v>
      </c>
      <c r="D1504" s="5" t="s">
        <v>22</v>
      </c>
      <c r="E1504" s="10">
        <v>1.93</v>
      </c>
      <c r="F1504" s="10">
        <v>8.02</v>
      </c>
      <c r="G1504" s="10">
        <v>5.76</v>
      </c>
      <c r="H1504" s="10">
        <v>1.94</v>
      </c>
      <c r="I1504" s="8">
        <f t="shared" si="73"/>
        <v>2.9559314399999996</v>
      </c>
      <c r="K1504" s="8">
        <f t="shared" si="75"/>
        <v>10.422997657250791</v>
      </c>
      <c r="L1504" s="8">
        <f t="shared" si="74"/>
        <v>5.2114988286253956</v>
      </c>
    </row>
    <row r="1505" spans="1:12" x14ac:dyDescent="0.25">
      <c r="A1505" s="1">
        <v>1506</v>
      </c>
      <c r="B1505" s="1">
        <v>599</v>
      </c>
      <c r="C1505" s="3" t="s">
        <v>63</v>
      </c>
      <c r="D1505" s="5" t="s">
        <v>22</v>
      </c>
      <c r="E1505" s="10">
        <v>2.25</v>
      </c>
      <c r="F1505" s="10">
        <v>6.74</v>
      </c>
      <c r="G1505" s="10">
        <v>8.19</v>
      </c>
      <c r="H1505" s="10">
        <v>1.9</v>
      </c>
      <c r="I1505" s="8">
        <f t="shared" si="73"/>
        <v>2.8352939999999998</v>
      </c>
      <c r="K1505" s="8">
        <f t="shared" si="75"/>
        <v>21.548754674951823</v>
      </c>
      <c r="L1505" s="8">
        <f t="shared" si="74"/>
        <v>10.774377337475912</v>
      </c>
    </row>
    <row r="1506" spans="1:12" x14ac:dyDescent="0.25">
      <c r="A1506" s="1">
        <v>1507</v>
      </c>
      <c r="B1506" s="1">
        <v>600</v>
      </c>
      <c r="C1506" s="3" t="s">
        <v>63</v>
      </c>
      <c r="D1506" s="5" t="s">
        <v>22</v>
      </c>
      <c r="E1506" s="10">
        <v>1.1299999999999999</v>
      </c>
      <c r="F1506" s="10">
        <v>9.32</v>
      </c>
      <c r="G1506" s="10">
        <v>6.28</v>
      </c>
      <c r="H1506" s="10">
        <v>1.9</v>
      </c>
      <c r="I1506" s="8">
        <f t="shared" si="73"/>
        <v>2.8352939999999998</v>
      </c>
      <c r="K1506" s="8">
        <f t="shared" si="75"/>
        <v>12.458064368398597</v>
      </c>
      <c r="L1506" s="8">
        <f t="shared" si="74"/>
        <v>6.2290321841992986</v>
      </c>
    </row>
    <row r="1507" spans="1:12" x14ac:dyDescent="0.25">
      <c r="A1507" s="1">
        <v>1508</v>
      </c>
      <c r="B1507" s="1">
        <v>601</v>
      </c>
      <c r="C1507" s="3" t="s">
        <v>63</v>
      </c>
      <c r="D1507" s="5" t="s">
        <v>22</v>
      </c>
      <c r="E1507" s="10">
        <v>2.3199999999999998</v>
      </c>
      <c r="F1507" s="10">
        <v>9.9499999999999993</v>
      </c>
      <c r="G1507" s="10">
        <v>5.28</v>
      </c>
      <c r="H1507" s="10">
        <v>1.94</v>
      </c>
      <c r="I1507" s="8">
        <f t="shared" si="73"/>
        <v>2.9559314399999996</v>
      </c>
      <c r="K1507" s="8">
        <f t="shared" si="75"/>
        <v>8.709955672374095</v>
      </c>
      <c r="L1507" s="8">
        <f t="shared" si="74"/>
        <v>4.3549778361870475</v>
      </c>
    </row>
    <row r="1508" spans="1:12" x14ac:dyDescent="0.25">
      <c r="A1508" s="1">
        <v>1509</v>
      </c>
      <c r="B1508" s="1">
        <v>602</v>
      </c>
      <c r="C1508" s="3" t="s">
        <v>63</v>
      </c>
      <c r="D1508" s="5" t="s">
        <v>22</v>
      </c>
      <c r="E1508" s="10">
        <v>2.06</v>
      </c>
      <c r="F1508" s="10">
        <v>6.17</v>
      </c>
      <c r="G1508" s="10">
        <v>8.86</v>
      </c>
      <c r="H1508" s="10">
        <v>1.73</v>
      </c>
      <c r="I1508" s="8">
        <f t="shared" si="73"/>
        <v>2.3506236600000001</v>
      </c>
      <c r="K1508" s="8">
        <f t="shared" si="75"/>
        <v>25.344885334237894</v>
      </c>
      <c r="L1508" s="8">
        <f t="shared" si="74"/>
        <v>12.672442667118947</v>
      </c>
    </row>
    <row r="1509" spans="1:12" x14ac:dyDescent="0.25">
      <c r="A1509" s="1">
        <v>1510</v>
      </c>
      <c r="B1509" s="1">
        <v>603</v>
      </c>
      <c r="C1509" s="3" t="s">
        <v>63</v>
      </c>
      <c r="D1509" s="5" t="s">
        <v>22</v>
      </c>
      <c r="E1509" s="10">
        <v>1.43</v>
      </c>
      <c r="F1509" s="10">
        <v>6.17</v>
      </c>
      <c r="G1509" s="10">
        <v>3.66</v>
      </c>
      <c r="H1509" s="10">
        <v>2.1</v>
      </c>
      <c r="I1509" s="8">
        <f t="shared" si="73"/>
        <v>3.4636140000000002</v>
      </c>
      <c r="K1509" s="8">
        <f t="shared" si="75"/>
        <v>4.0888771774241404</v>
      </c>
      <c r="L1509" s="8">
        <f t="shared" si="74"/>
        <v>2.0444385887120702</v>
      </c>
    </row>
    <row r="1510" spans="1:12" x14ac:dyDescent="0.25">
      <c r="A1510" s="1">
        <v>1511</v>
      </c>
      <c r="B1510" s="1">
        <v>604</v>
      </c>
      <c r="C1510" s="3" t="s">
        <v>63</v>
      </c>
      <c r="D1510" s="5" t="s">
        <v>22</v>
      </c>
      <c r="E1510" s="10">
        <v>1.61</v>
      </c>
      <c r="F1510" s="10">
        <v>5.26</v>
      </c>
      <c r="G1510" s="10">
        <v>5.54</v>
      </c>
      <c r="H1510" s="10">
        <v>2.02</v>
      </c>
      <c r="I1510" s="8">
        <f t="shared" si="73"/>
        <v>3.20474616</v>
      </c>
      <c r="K1510" s="8">
        <f t="shared" si="75"/>
        <v>9.6181876335393817</v>
      </c>
      <c r="L1510" s="8">
        <f t="shared" si="74"/>
        <v>4.8090938167696908</v>
      </c>
    </row>
    <row r="1511" spans="1:12" x14ac:dyDescent="0.25">
      <c r="A1511" s="1">
        <v>1512</v>
      </c>
      <c r="B1511" s="1">
        <v>605</v>
      </c>
      <c r="C1511" s="3" t="s">
        <v>63</v>
      </c>
      <c r="D1511" s="5" t="s">
        <v>22</v>
      </c>
      <c r="E1511" s="10">
        <v>2.34</v>
      </c>
      <c r="F1511" s="10">
        <v>10.15</v>
      </c>
      <c r="G1511" s="10">
        <v>3.25</v>
      </c>
      <c r="H1511" s="10">
        <v>1.93</v>
      </c>
      <c r="I1511" s="8">
        <f t="shared" si="73"/>
        <v>2.92553646</v>
      </c>
      <c r="K1511" s="8">
        <f t="shared" si="75"/>
        <v>3.1998687197350622</v>
      </c>
      <c r="L1511" s="8">
        <f t="shared" si="74"/>
        <v>1.5999343598675311</v>
      </c>
    </row>
    <row r="1512" spans="1:12" x14ac:dyDescent="0.25">
      <c r="A1512" s="1">
        <v>1513</v>
      </c>
      <c r="B1512" s="1">
        <v>606</v>
      </c>
      <c r="C1512" s="3" t="s">
        <v>63</v>
      </c>
      <c r="D1512" s="5" t="s">
        <v>22</v>
      </c>
      <c r="E1512" s="10">
        <v>1.54</v>
      </c>
      <c r="F1512" s="10">
        <v>9.65</v>
      </c>
      <c r="G1512" s="10">
        <v>7.44</v>
      </c>
      <c r="H1512" s="10">
        <v>1.93</v>
      </c>
      <c r="I1512" s="8">
        <f t="shared" si="73"/>
        <v>2.92553646</v>
      </c>
      <c r="K1512" s="8">
        <f t="shared" si="75"/>
        <v>17.674681565461903</v>
      </c>
      <c r="L1512" s="8">
        <f t="shared" si="74"/>
        <v>8.8373407827309514</v>
      </c>
    </row>
    <row r="1513" spans="1:12" x14ac:dyDescent="0.25">
      <c r="A1513" s="1">
        <v>1514</v>
      </c>
      <c r="B1513" s="1">
        <v>607</v>
      </c>
      <c r="C1513" s="3" t="s">
        <v>63</v>
      </c>
      <c r="D1513" s="5" t="s">
        <v>22</v>
      </c>
      <c r="E1513" s="10">
        <v>1.1399999999999999</v>
      </c>
      <c r="F1513" s="10">
        <v>8.32</v>
      </c>
      <c r="G1513" s="10">
        <v>8.51</v>
      </c>
      <c r="H1513" s="10">
        <v>1.73</v>
      </c>
      <c r="I1513" s="8">
        <f t="shared" si="73"/>
        <v>2.3506236600000001</v>
      </c>
      <c r="K1513" s="8">
        <f t="shared" si="75"/>
        <v>23.32225249366331</v>
      </c>
      <c r="L1513" s="8">
        <f t="shared" si="74"/>
        <v>11.661126246831655</v>
      </c>
    </row>
    <row r="1514" spans="1:12" x14ac:dyDescent="0.25">
      <c r="A1514" s="1">
        <v>1515</v>
      </c>
      <c r="B1514" s="1">
        <v>608</v>
      </c>
      <c r="C1514" s="3" t="s">
        <v>63</v>
      </c>
      <c r="D1514" s="5" t="s">
        <v>22</v>
      </c>
      <c r="E1514" s="10">
        <v>2.2599999999999998</v>
      </c>
      <c r="F1514" s="10">
        <v>10.91</v>
      </c>
      <c r="G1514" s="10">
        <v>4.68</v>
      </c>
      <c r="H1514" s="10">
        <v>1.77</v>
      </c>
      <c r="I1514" s="8">
        <f t="shared" si="73"/>
        <v>2.4605796600000001</v>
      </c>
      <c r="K1514" s="8">
        <f t="shared" si="75"/>
        <v>6.7906784037719463</v>
      </c>
      <c r="L1514" s="8">
        <f t="shared" si="74"/>
        <v>3.3953392018859732</v>
      </c>
    </row>
    <row r="1515" spans="1:12" x14ac:dyDescent="0.25">
      <c r="A1515" s="1">
        <v>1516</v>
      </c>
      <c r="B1515" s="1">
        <v>609</v>
      </c>
      <c r="C1515" s="3" t="s">
        <v>63</v>
      </c>
      <c r="D1515" s="5" t="s">
        <v>22</v>
      </c>
      <c r="E1515" s="10">
        <v>2.34</v>
      </c>
      <c r="F1515" s="10">
        <v>10.64</v>
      </c>
      <c r="G1515" s="10">
        <v>8.15</v>
      </c>
      <c r="H1515" s="10">
        <v>2.04</v>
      </c>
      <c r="I1515" s="8">
        <f t="shared" si="73"/>
        <v>3.2685206399999998</v>
      </c>
      <c r="K1515" s="8">
        <f t="shared" si="75"/>
        <v>21.332147171641427</v>
      </c>
      <c r="L1515" s="8">
        <f t="shared" si="74"/>
        <v>10.666073585820714</v>
      </c>
    </row>
    <row r="1516" spans="1:12" x14ac:dyDescent="0.25">
      <c r="A1516" s="1">
        <v>1517</v>
      </c>
      <c r="B1516" s="1">
        <v>610</v>
      </c>
      <c r="C1516" s="3" t="s">
        <v>63</v>
      </c>
      <c r="D1516" s="5" t="s">
        <v>22</v>
      </c>
      <c r="E1516" s="10">
        <v>1.94</v>
      </c>
      <c r="F1516" s="10">
        <v>9.1</v>
      </c>
      <c r="G1516" s="10">
        <v>4.75</v>
      </c>
      <c r="H1516" s="10">
        <v>1.75</v>
      </c>
      <c r="I1516" s="8">
        <f t="shared" si="73"/>
        <v>2.4052875</v>
      </c>
      <c r="K1516" s="8">
        <f t="shared" si="75"/>
        <v>7.0019355520465894</v>
      </c>
      <c r="L1516" s="8">
        <f t="shared" si="74"/>
        <v>3.5009677760232947</v>
      </c>
    </row>
    <row r="1517" spans="1:12" x14ac:dyDescent="0.25">
      <c r="A1517" s="1">
        <v>1518</v>
      </c>
      <c r="B1517" s="1">
        <v>611</v>
      </c>
      <c r="C1517" s="3" t="s">
        <v>63</v>
      </c>
      <c r="D1517" s="5" t="s">
        <v>22</v>
      </c>
      <c r="E1517" s="10">
        <v>1.81</v>
      </c>
      <c r="F1517" s="10">
        <v>11.08</v>
      </c>
      <c r="G1517" s="10">
        <v>8.4600000000000009</v>
      </c>
      <c r="H1517" s="10">
        <v>1.89</v>
      </c>
      <c r="I1517" s="8">
        <f t="shared" si="73"/>
        <v>2.8055273399999998</v>
      </c>
      <c r="K1517" s="8">
        <f t="shared" si="75"/>
        <v>23.040377464271003</v>
      </c>
      <c r="L1517" s="8">
        <f t="shared" si="74"/>
        <v>11.520188732135502</v>
      </c>
    </row>
    <row r="1518" spans="1:12" x14ac:dyDescent="0.25">
      <c r="A1518" s="1">
        <v>1519</v>
      </c>
      <c r="B1518" s="1">
        <v>612</v>
      </c>
      <c r="C1518" s="3" t="s">
        <v>63</v>
      </c>
      <c r="D1518" s="5" t="s">
        <v>22</v>
      </c>
      <c r="E1518" s="10">
        <v>1.3</v>
      </c>
      <c r="F1518" s="10">
        <v>6.44</v>
      </c>
      <c r="G1518" s="10">
        <v>7.52</v>
      </c>
      <c r="H1518" s="10">
        <v>1.77</v>
      </c>
      <c r="I1518" s="8">
        <f>0.7854*H1518^2</f>
        <v>2.4605796600000001</v>
      </c>
      <c r="K1518" s="8">
        <f t="shared" si="75"/>
        <v>18.069093270335788</v>
      </c>
      <c r="L1518" s="8">
        <f t="shared" si="74"/>
        <v>9.034546635167894</v>
      </c>
    </row>
    <row r="1519" spans="1:12" x14ac:dyDescent="0.25">
      <c r="A1519" s="1">
        <v>1520</v>
      </c>
      <c r="B1519" s="1">
        <v>613</v>
      </c>
      <c r="C1519" s="3" t="s">
        <v>63</v>
      </c>
      <c r="D1519" s="5" t="s">
        <v>22</v>
      </c>
      <c r="E1519" s="10">
        <v>1.78</v>
      </c>
      <c r="F1519" s="10">
        <v>5.78</v>
      </c>
      <c r="G1519" s="10">
        <v>7.83</v>
      </c>
      <c r="H1519" s="10">
        <v>1.92</v>
      </c>
      <c r="I1519" s="8">
        <f t="shared" si="73"/>
        <v>2.8952985600000001</v>
      </c>
      <c r="K1519" s="8">
        <f t="shared" si="75"/>
        <v>19.639853395697621</v>
      </c>
      <c r="L1519" s="8">
        <f t="shared" si="74"/>
        <v>9.8199266978488104</v>
      </c>
    </row>
    <row r="1520" spans="1:12" x14ac:dyDescent="0.25">
      <c r="A1520" s="1">
        <v>1521</v>
      </c>
      <c r="B1520" s="1">
        <v>614</v>
      </c>
      <c r="C1520" s="3" t="s">
        <v>63</v>
      </c>
      <c r="D1520" s="5" t="s">
        <v>22</v>
      </c>
      <c r="E1520" s="10">
        <v>1.31</v>
      </c>
      <c r="F1520" s="10">
        <v>6.89</v>
      </c>
      <c r="G1520" s="10">
        <v>3.11</v>
      </c>
      <c r="H1520" s="10">
        <v>1.78</v>
      </c>
      <c r="I1520" s="8">
        <f t="shared" si="73"/>
        <v>2.4884613600000001</v>
      </c>
      <c r="K1520" s="8">
        <f t="shared" si="75"/>
        <v>2.9219441351002455</v>
      </c>
      <c r="L1520" s="8">
        <f t="shared" si="74"/>
        <v>1.4609720675501228</v>
      </c>
    </row>
    <row r="1521" spans="1:12" x14ac:dyDescent="0.25">
      <c r="A1521" s="1">
        <v>1522</v>
      </c>
      <c r="B1521" s="1">
        <v>615</v>
      </c>
      <c r="C1521" s="3" t="s">
        <v>63</v>
      </c>
      <c r="D1521" s="5" t="s">
        <v>22</v>
      </c>
      <c r="E1521" s="10">
        <v>1.47</v>
      </c>
      <c r="F1521" s="10">
        <v>5.4</v>
      </c>
      <c r="G1521" s="10">
        <v>8.7799999999999994</v>
      </c>
      <c r="H1521" s="10">
        <v>2.08</v>
      </c>
      <c r="I1521" s="8">
        <f t="shared" si="73"/>
        <v>3.3979545600000005</v>
      </c>
      <c r="K1521" s="8">
        <f t="shared" si="75"/>
        <v>24.87492495386325</v>
      </c>
      <c r="L1521" s="8">
        <f t="shared" si="74"/>
        <v>12.437462476931625</v>
      </c>
    </row>
    <row r="1522" spans="1:12" x14ac:dyDescent="0.25">
      <c r="A1522" s="1">
        <v>1523</v>
      </c>
      <c r="B1522" s="1">
        <v>616</v>
      </c>
      <c r="C1522" s="3" t="s">
        <v>63</v>
      </c>
      <c r="D1522" s="5" t="s">
        <v>22</v>
      </c>
      <c r="E1522" s="10">
        <v>1.23</v>
      </c>
      <c r="F1522" s="10">
        <v>8.7200000000000006</v>
      </c>
      <c r="G1522" s="10">
        <v>7.36</v>
      </c>
      <c r="H1522" s="10">
        <v>1.87</v>
      </c>
      <c r="I1522" s="8">
        <f t="shared" si="73"/>
        <v>2.7464652600000004</v>
      </c>
      <c r="K1522" s="8">
        <f t="shared" si="75"/>
        <v>17.284754498867454</v>
      </c>
      <c r="L1522" s="8">
        <f t="shared" si="74"/>
        <v>8.6423772494337268</v>
      </c>
    </row>
    <row r="1523" spans="1:12" x14ac:dyDescent="0.25">
      <c r="A1523" s="1">
        <v>1524</v>
      </c>
      <c r="B1523" s="1">
        <v>617</v>
      </c>
      <c r="C1523" s="3" t="s">
        <v>63</v>
      </c>
      <c r="D1523" s="5" t="s">
        <v>22</v>
      </c>
      <c r="E1523" s="10">
        <v>1.23</v>
      </c>
      <c r="F1523" s="10">
        <v>11.56</v>
      </c>
      <c r="G1523" s="10">
        <v>4.83</v>
      </c>
      <c r="H1523" s="10">
        <v>1.88</v>
      </c>
      <c r="I1523" s="8">
        <f t="shared" si="73"/>
        <v>2.7759177599999996</v>
      </c>
      <c r="K1523" s="8">
        <f t="shared" si="75"/>
        <v>7.2474587121416629</v>
      </c>
      <c r="L1523" s="8">
        <f t="shared" si="74"/>
        <v>3.6237293560708315</v>
      </c>
    </row>
    <row r="1524" spans="1:12" x14ac:dyDescent="0.25">
      <c r="A1524" s="1">
        <v>1525</v>
      </c>
      <c r="B1524" s="1">
        <v>618</v>
      </c>
      <c r="C1524" s="3" t="s">
        <v>63</v>
      </c>
      <c r="D1524" s="5" t="s">
        <v>22</v>
      </c>
      <c r="E1524" s="10">
        <v>1.66</v>
      </c>
      <c r="F1524" s="10">
        <v>5.28</v>
      </c>
      <c r="G1524" s="10">
        <v>7.98</v>
      </c>
      <c r="H1524" s="10">
        <v>2.0299999999999998</v>
      </c>
      <c r="I1524" s="8">
        <f t="shared" si="73"/>
        <v>3.2365548599999991</v>
      </c>
      <c r="K1524" s="8">
        <f t="shared" si="75"/>
        <v>20.424141560100971</v>
      </c>
      <c r="L1524" s="8">
        <f t="shared" si="74"/>
        <v>10.212070780050485</v>
      </c>
    </row>
    <row r="1525" spans="1:12" x14ac:dyDescent="0.25">
      <c r="A1525" s="1">
        <v>1526</v>
      </c>
      <c r="B1525" s="1">
        <v>619</v>
      </c>
      <c r="C1525" s="3" t="s">
        <v>63</v>
      </c>
      <c r="D1525" s="5" t="s">
        <v>22</v>
      </c>
      <c r="E1525" s="10">
        <v>2.14</v>
      </c>
      <c r="F1525" s="10">
        <v>5.85</v>
      </c>
      <c r="G1525" s="10">
        <v>4.6900000000000004</v>
      </c>
      <c r="H1525" s="10">
        <v>1.99</v>
      </c>
      <c r="I1525" s="8">
        <f t="shared" si="73"/>
        <v>3.1102625399999999</v>
      </c>
      <c r="K1525" s="8">
        <f t="shared" si="75"/>
        <v>6.820653803202811</v>
      </c>
      <c r="L1525" s="8">
        <f t="shared" si="74"/>
        <v>3.4103269016014055</v>
      </c>
    </row>
    <row r="1526" spans="1:12" x14ac:dyDescent="0.25">
      <c r="A1526" s="1">
        <v>1527</v>
      </c>
      <c r="B1526" s="1">
        <v>620</v>
      </c>
      <c r="C1526" s="3" t="s">
        <v>63</v>
      </c>
      <c r="D1526" s="5" t="s">
        <v>22</v>
      </c>
      <c r="E1526" s="10">
        <v>1.32</v>
      </c>
      <c r="F1526" s="10">
        <v>8.17</v>
      </c>
      <c r="G1526" s="10">
        <v>8.24</v>
      </c>
      <c r="H1526" s="10">
        <v>1.71</v>
      </c>
      <c r="I1526" s="8">
        <f t="shared" si="73"/>
        <v>2.2965881399999999</v>
      </c>
      <c r="K1526" s="8">
        <f t="shared" si="75"/>
        <v>21.82110037122558</v>
      </c>
      <c r="L1526" s="8">
        <f t="shared" si="74"/>
        <v>10.91055018561279</v>
      </c>
    </row>
    <row r="1527" spans="1:12" x14ac:dyDescent="0.25">
      <c r="A1527" s="1">
        <v>1528</v>
      </c>
      <c r="B1527" s="1">
        <v>621</v>
      </c>
      <c r="C1527" s="3" t="s">
        <v>63</v>
      </c>
      <c r="D1527" s="5" t="s">
        <v>22</v>
      </c>
      <c r="E1527" s="10">
        <v>1.72</v>
      </c>
      <c r="F1527" s="10">
        <v>11.54</v>
      </c>
      <c r="G1527" s="10">
        <v>3.68</v>
      </c>
      <c r="H1527" s="10">
        <v>1.73</v>
      </c>
      <c r="I1527" s="8">
        <f t="shared" si="73"/>
        <v>2.3506236600000001</v>
      </c>
      <c r="K1527" s="8">
        <f t="shared" si="75"/>
        <v>4.135117165147614</v>
      </c>
      <c r="L1527" s="8">
        <f t="shared" si="74"/>
        <v>2.067558582573807</v>
      </c>
    </row>
    <row r="1528" spans="1:12" x14ac:dyDescent="0.25">
      <c r="A1528" s="1">
        <v>1529</v>
      </c>
      <c r="B1528" s="1">
        <v>622</v>
      </c>
      <c r="C1528" s="3" t="s">
        <v>63</v>
      </c>
      <c r="D1528" s="5" t="s">
        <v>22</v>
      </c>
      <c r="E1528" s="10">
        <v>1.34</v>
      </c>
      <c r="F1528" s="10">
        <v>7.21</v>
      </c>
      <c r="G1528" s="10">
        <v>7.22</v>
      </c>
      <c r="H1528" s="10">
        <v>2.08</v>
      </c>
      <c r="I1528" s="8">
        <f t="shared" si="73"/>
        <v>3.3979545600000005</v>
      </c>
      <c r="K1528" s="8">
        <f t="shared" si="75"/>
        <v>16.613164018382438</v>
      </c>
      <c r="L1528" s="8">
        <f t="shared" si="74"/>
        <v>8.306582009191219</v>
      </c>
    </row>
    <row r="1529" spans="1:12" x14ac:dyDescent="0.25">
      <c r="A1529" s="1">
        <v>1530</v>
      </c>
      <c r="B1529" s="1">
        <v>623</v>
      </c>
      <c r="C1529" s="3" t="s">
        <v>63</v>
      </c>
      <c r="D1529" s="5" t="s">
        <v>22</v>
      </c>
      <c r="E1529" s="10">
        <v>1.17</v>
      </c>
      <c r="F1529" s="10">
        <v>8.5500000000000007</v>
      </c>
      <c r="G1529" s="10">
        <v>6.24</v>
      </c>
      <c r="H1529" s="10">
        <v>1.81</v>
      </c>
      <c r="I1529" s="8">
        <f t="shared" si="73"/>
        <v>2.5730489400000001</v>
      </c>
      <c r="K1529" s="8">
        <f t="shared" si="75"/>
        <v>12.294878644105678</v>
      </c>
      <c r="L1529" s="8">
        <f t="shared" si="74"/>
        <v>6.1474393220528389</v>
      </c>
    </row>
    <row r="1530" spans="1:12" x14ac:dyDescent="0.25">
      <c r="A1530" s="1">
        <v>1531</v>
      </c>
      <c r="B1530" s="1">
        <v>624</v>
      </c>
      <c r="C1530" s="3" t="s">
        <v>63</v>
      </c>
      <c r="D1530" s="5" t="s">
        <v>22</v>
      </c>
      <c r="E1530" s="10">
        <v>1.64</v>
      </c>
      <c r="F1530" s="10">
        <v>5.29</v>
      </c>
      <c r="G1530" s="10">
        <v>3.58</v>
      </c>
      <c r="H1530" s="10">
        <v>1.79</v>
      </c>
      <c r="I1530" s="8">
        <f t="shared" si="73"/>
        <v>2.5165001399999998</v>
      </c>
      <c r="K1530" s="8">
        <f t="shared" si="75"/>
        <v>3.9065957304519769</v>
      </c>
      <c r="L1530" s="8">
        <f t="shared" si="74"/>
        <v>1.9532978652259885</v>
      </c>
    </row>
    <row r="1531" spans="1:12" x14ac:dyDescent="0.25">
      <c r="A1531" s="1">
        <v>1532</v>
      </c>
      <c r="B1531" s="1">
        <v>625</v>
      </c>
      <c r="C1531" s="3" t="s">
        <v>63</v>
      </c>
      <c r="D1531" s="5" t="s">
        <v>22</v>
      </c>
      <c r="E1531" s="10">
        <v>1.93</v>
      </c>
      <c r="F1531" s="10">
        <v>6.04</v>
      </c>
      <c r="G1531" s="10">
        <v>4.45</v>
      </c>
      <c r="H1531" s="10">
        <v>1.92</v>
      </c>
      <c r="I1531" s="8">
        <f t="shared" si="73"/>
        <v>2.8952985600000001</v>
      </c>
      <c r="K1531" s="8">
        <f t="shared" si="75"/>
        <v>6.1200043138042322</v>
      </c>
      <c r="L1531" s="8">
        <f t="shared" si="74"/>
        <v>3.0600021569021161</v>
      </c>
    </row>
    <row r="1532" spans="1:12" x14ac:dyDescent="0.25">
      <c r="A1532" s="1">
        <v>1533</v>
      </c>
      <c r="B1532" s="1">
        <v>626</v>
      </c>
      <c r="C1532" s="3" t="s">
        <v>63</v>
      </c>
      <c r="D1532" s="5" t="s">
        <v>22</v>
      </c>
      <c r="E1532" s="10">
        <v>1.1599999999999999</v>
      </c>
      <c r="F1532" s="10">
        <v>11.91</v>
      </c>
      <c r="G1532" s="10">
        <v>3.07</v>
      </c>
      <c r="H1532" s="10">
        <v>1.75</v>
      </c>
      <c r="I1532" s="8">
        <f t="shared" si="73"/>
        <v>2.4052875</v>
      </c>
      <c r="K1532" s="8">
        <f t="shared" si="75"/>
        <v>2.844925404258063</v>
      </c>
      <c r="L1532" s="8">
        <f t="shared" si="74"/>
        <v>1.4224627021290315</v>
      </c>
    </row>
    <row r="1533" spans="1:12" x14ac:dyDescent="0.25">
      <c r="A1533" s="1">
        <v>1534</v>
      </c>
      <c r="B1533" s="1">
        <v>627</v>
      </c>
      <c r="C1533" s="3" t="s">
        <v>63</v>
      </c>
      <c r="D1533" s="5" t="s">
        <v>22</v>
      </c>
      <c r="E1533" s="10">
        <v>1.83</v>
      </c>
      <c r="F1533" s="10">
        <v>11.76</v>
      </c>
      <c r="G1533" s="10">
        <v>5.81</v>
      </c>
      <c r="H1533" s="10">
        <v>1.78</v>
      </c>
      <c r="I1533" s="8">
        <f t="shared" si="73"/>
        <v>2.4884613600000001</v>
      </c>
      <c r="K1533" s="8">
        <f t="shared" si="75"/>
        <v>10.610559737695631</v>
      </c>
      <c r="L1533" s="8">
        <f t="shared" si="74"/>
        <v>5.3052798688478155</v>
      </c>
    </row>
    <row r="1534" spans="1:12" x14ac:dyDescent="0.25">
      <c r="A1534" s="1">
        <v>1535</v>
      </c>
      <c r="B1534" s="1">
        <v>628</v>
      </c>
      <c r="C1534" s="3" t="s">
        <v>63</v>
      </c>
      <c r="D1534" s="5" t="s">
        <v>22</v>
      </c>
      <c r="E1534" s="10">
        <v>2</v>
      </c>
      <c r="F1534" s="10">
        <v>5.03</v>
      </c>
      <c r="G1534" s="10">
        <v>4.8099999999999996</v>
      </c>
      <c r="H1534" s="10">
        <v>2.06</v>
      </c>
      <c r="I1534" s="8">
        <f t="shared" si="73"/>
        <v>3.3329234399999996</v>
      </c>
      <c r="K1534" s="8">
        <f t="shared" si="75"/>
        <v>7.185669044288999</v>
      </c>
      <c r="L1534" s="8">
        <f t="shared" si="74"/>
        <v>3.5928345221444995</v>
      </c>
    </row>
    <row r="1535" spans="1:12" x14ac:dyDescent="0.25">
      <c r="A1535" s="1">
        <v>1536</v>
      </c>
      <c r="B1535" s="1">
        <v>629</v>
      </c>
      <c r="C1535" s="3" t="s">
        <v>63</v>
      </c>
      <c r="D1535" s="5" t="s">
        <v>22</v>
      </c>
      <c r="E1535" s="10">
        <v>2.02</v>
      </c>
      <c r="F1535" s="10">
        <v>11.66</v>
      </c>
      <c r="G1535" s="10">
        <v>6.59</v>
      </c>
      <c r="H1535" s="10">
        <v>1.99</v>
      </c>
      <c r="I1535" s="8">
        <f t="shared" si="73"/>
        <v>3.1102625399999999</v>
      </c>
      <c r="K1535" s="8">
        <f t="shared" si="75"/>
        <v>13.760394932592229</v>
      </c>
      <c r="L1535" s="8">
        <f t="shared" si="74"/>
        <v>6.8801974662961145</v>
      </c>
    </row>
    <row r="1536" spans="1:12" x14ac:dyDescent="0.25">
      <c r="A1536" s="1">
        <v>1537</v>
      </c>
      <c r="B1536" s="1">
        <v>630</v>
      </c>
      <c r="C1536" s="3" t="s">
        <v>63</v>
      </c>
      <c r="D1536" s="5" t="s">
        <v>22</v>
      </c>
      <c r="E1536" s="10">
        <v>1.83</v>
      </c>
      <c r="F1536" s="10">
        <v>9.4700000000000006</v>
      </c>
      <c r="G1536" s="10">
        <v>4.78</v>
      </c>
      <c r="H1536" s="10">
        <v>1.67</v>
      </c>
      <c r="I1536" s="8">
        <f t="shared" si="73"/>
        <v>2.1904020599999998</v>
      </c>
      <c r="K1536" s="8">
        <f t="shared" si="75"/>
        <v>7.0934957075126288</v>
      </c>
      <c r="L1536" s="8">
        <f t="shared" si="74"/>
        <v>3.5467478537563144</v>
      </c>
    </row>
    <row r="1537" spans="1:12" x14ac:dyDescent="0.25">
      <c r="A1537" s="1">
        <v>1538</v>
      </c>
      <c r="B1537" s="1">
        <v>631</v>
      </c>
      <c r="C1537" s="3" t="s">
        <v>63</v>
      </c>
      <c r="D1537" s="5" t="s">
        <v>22</v>
      </c>
      <c r="E1537" s="10">
        <v>1.77</v>
      </c>
      <c r="F1537" s="10">
        <v>11.08</v>
      </c>
      <c r="G1537" s="10">
        <v>4.8</v>
      </c>
      <c r="H1537" s="10">
        <v>2.08</v>
      </c>
      <c r="I1537" s="8">
        <f t="shared" ref="I1537:I1600" si="76">0.7854*H1537^2</f>
        <v>3.3979545600000005</v>
      </c>
      <c r="K1537" s="8">
        <f t="shared" si="75"/>
        <v>7.1548764523700212</v>
      </c>
      <c r="L1537" s="8">
        <f t="shared" ref="L1537:L1600" si="77">K1537*0.5</f>
        <v>3.5774382261850106</v>
      </c>
    </row>
    <row r="1538" spans="1:12" x14ac:dyDescent="0.25">
      <c r="A1538" s="1">
        <v>1539</v>
      </c>
      <c r="B1538" s="1">
        <v>632</v>
      </c>
      <c r="C1538" s="3" t="s">
        <v>63</v>
      </c>
      <c r="D1538" s="5" t="s">
        <v>22</v>
      </c>
      <c r="E1538" s="10">
        <v>2.1</v>
      </c>
      <c r="F1538" s="10">
        <v>8.18</v>
      </c>
      <c r="G1538" s="10">
        <v>7.46</v>
      </c>
      <c r="H1538" s="10">
        <v>1.97</v>
      </c>
      <c r="I1538" s="8">
        <f t="shared" si="76"/>
        <v>3.0480588599999998</v>
      </c>
      <c r="K1538" s="8">
        <f t="shared" si="75"/>
        <v>17.772863937302585</v>
      </c>
      <c r="L1538" s="8">
        <f t="shared" si="77"/>
        <v>8.8864319686512925</v>
      </c>
    </row>
    <row r="1539" spans="1:12" x14ac:dyDescent="0.25">
      <c r="A1539" s="1">
        <v>1540</v>
      </c>
      <c r="B1539" s="1">
        <v>633</v>
      </c>
      <c r="C1539" s="3" t="s">
        <v>63</v>
      </c>
      <c r="D1539" s="5" t="s">
        <v>22</v>
      </c>
      <c r="E1539" s="10">
        <v>1.87</v>
      </c>
      <c r="F1539" s="10">
        <v>8.61</v>
      </c>
      <c r="G1539" s="10">
        <v>3.29</v>
      </c>
      <c r="H1539" s="10">
        <v>1.76</v>
      </c>
      <c r="I1539" s="8">
        <f t="shared" si="76"/>
        <v>2.4328550399999997</v>
      </c>
      <c r="K1539" s="8">
        <f t="shared" si="75"/>
        <v>3.281667537704104</v>
      </c>
      <c r="L1539" s="8">
        <f t="shared" si="77"/>
        <v>1.640833768852052</v>
      </c>
    </row>
    <row r="1540" spans="1:12" x14ac:dyDescent="0.25">
      <c r="A1540" s="1">
        <v>1541</v>
      </c>
      <c r="B1540" s="1">
        <v>634</v>
      </c>
      <c r="C1540" s="3" t="s">
        <v>63</v>
      </c>
      <c r="D1540" s="5" t="s">
        <v>22</v>
      </c>
      <c r="E1540" s="10">
        <v>1.82</v>
      </c>
      <c r="F1540" s="10">
        <v>8.42</v>
      </c>
      <c r="G1540" s="10">
        <v>8.42</v>
      </c>
      <c r="H1540" s="10">
        <v>2.04</v>
      </c>
      <c r="I1540" s="8">
        <f t="shared" si="76"/>
        <v>3.2685206399999998</v>
      </c>
      <c r="K1540" s="8">
        <f t="shared" si="75"/>
        <v>22.81614910991663</v>
      </c>
      <c r="L1540" s="8">
        <f t="shared" si="77"/>
        <v>11.408074554958315</v>
      </c>
    </row>
    <row r="1541" spans="1:12" x14ac:dyDescent="0.25">
      <c r="A1541" s="1">
        <v>1542</v>
      </c>
      <c r="B1541" s="1">
        <v>635</v>
      </c>
      <c r="C1541" s="3" t="s">
        <v>63</v>
      </c>
      <c r="D1541" s="5" t="s">
        <v>22</v>
      </c>
      <c r="E1541" s="10">
        <v>2.2000000000000002</v>
      </c>
      <c r="F1541" s="10">
        <v>9.67</v>
      </c>
      <c r="G1541" s="10">
        <v>8.11</v>
      </c>
      <c r="H1541" s="10">
        <v>1.94</v>
      </c>
      <c r="I1541" s="8">
        <f t="shared" si="76"/>
        <v>2.9559314399999996</v>
      </c>
      <c r="K1541" s="8">
        <f t="shared" si="75"/>
        <v>21.116667336319214</v>
      </c>
      <c r="L1541" s="8">
        <f t="shared" si="77"/>
        <v>10.558333668159607</v>
      </c>
    </row>
    <row r="1542" spans="1:12" x14ac:dyDescent="0.25">
      <c r="A1542" s="1">
        <v>1543</v>
      </c>
      <c r="B1542" s="1">
        <v>636</v>
      </c>
      <c r="C1542" s="3" t="s">
        <v>63</v>
      </c>
      <c r="D1542" s="5" t="s">
        <v>22</v>
      </c>
      <c r="E1542" s="10">
        <v>2.38</v>
      </c>
      <c r="F1542" s="10">
        <v>5.98</v>
      </c>
      <c r="G1542" s="10">
        <v>7.01</v>
      </c>
      <c r="H1542" s="10">
        <v>1.74</v>
      </c>
      <c r="I1542" s="8">
        <f t="shared" si="76"/>
        <v>2.37787704</v>
      </c>
      <c r="K1542" s="8">
        <f t="shared" si="75"/>
        <v>15.63147555112362</v>
      </c>
      <c r="L1542" s="8">
        <f t="shared" si="77"/>
        <v>7.8157377755618098</v>
      </c>
    </row>
    <row r="1543" spans="1:12" x14ac:dyDescent="0.25">
      <c r="A1543" s="1">
        <v>1544</v>
      </c>
      <c r="B1543" s="1">
        <v>637</v>
      </c>
      <c r="C1543" s="3" t="s">
        <v>63</v>
      </c>
      <c r="D1543" s="5" t="s">
        <v>22</v>
      </c>
      <c r="E1543" s="10">
        <v>1.82</v>
      </c>
      <c r="F1543" s="10">
        <v>5.21</v>
      </c>
      <c r="G1543" s="10">
        <v>6.56</v>
      </c>
      <c r="H1543" s="10">
        <v>1.77</v>
      </c>
      <c r="I1543" s="8">
        <f t="shared" si="76"/>
        <v>2.4605796600000001</v>
      </c>
      <c r="K1543" s="8">
        <f t="shared" si="75"/>
        <v>13.631445707472789</v>
      </c>
      <c r="L1543" s="8">
        <f t="shared" si="77"/>
        <v>6.8157228537363945</v>
      </c>
    </row>
    <row r="1544" spans="1:12" x14ac:dyDescent="0.25">
      <c r="A1544" s="1">
        <v>1545</v>
      </c>
      <c r="B1544" s="1">
        <v>638</v>
      </c>
      <c r="C1544" s="3" t="s">
        <v>63</v>
      </c>
      <c r="D1544" s="5" t="s">
        <v>22</v>
      </c>
      <c r="E1544" s="10">
        <v>1.71</v>
      </c>
      <c r="F1544" s="10">
        <v>7.16</v>
      </c>
      <c r="G1544" s="10">
        <v>8.35</v>
      </c>
      <c r="H1544" s="10">
        <v>1.89</v>
      </c>
      <c r="I1544" s="8">
        <f t="shared" si="76"/>
        <v>2.8055273399999998</v>
      </c>
      <c r="K1544" s="8">
        <f t="shared" si="75"/>
        <v>22.42646835698676</v>
      </c>
      <c r="L1544" s="8">
        <f t="shared" si="77"/>
        <v>11.21323417849338</v>
      </c>
    </row>
    <row r="1545" spans="1:12" x14ac:dyDescent="0.25">
      <c r="A1545" s="1">
        <v>1546</v>
      </c>
      <c r="B1545" s="1">
        <v>639</v>
      </c>
      <c r="C1545" s="3" t="s">
        <v>63</v>
      </c>
      <c r="D1545" s="5" t="s">
        <v>22</v>
      </c>
      <c r="E1545" s="10">
        <v>1.87</v>
      </c>
      <c r="F1545" s="10">
        <v>9.93</v>
      </c>
      <c r="G1545" s="10">
        <v>4.1100000000000003</v>
      </c>
      <c r="H1545" s="10">
        <v>1.67</v>
      </c>
      <c r="I1545" s="8">
        <f t="shared" si="76"/>
        <v>2.1904020599999998</v>
      </c>
      <c r="K1545" s="8">
        <f t="shared" si="75"/>
        <v>5.194257135419595</v>
      </c>
      <c r="L1545" s="8">
        <f t="shared" si="77"/>
        <v>2.5971285677097975</v>
      </c>
    </row>
    <row r="1546" spans="1:12" x14ac:dyDescent="0.25">
      <c r="A1546" s="1">
        <v>1547</v>
      </c>
      <c r="B1546" s="1">
        <v>640</v>
      </c>
      <c r="C1546" s="3" t="s">
        <v>63</v>
      </c>
      <c r="D1546" s="5" t="s">
        <v>22</v>
      </c>
      <c r="E1546" s="10">
        <v>1.69</v>
      </c>
      <c r="F1546" s="10">
        <v>6.41</v>
      </c>
      <c r="G1546" s="10">
        <v>3.47</v>
      </c>
      <c r="H1546" s="10">
        <v>2.0699999999999998</v>
      </c>
      <c r="I1546" s="8">
        <f t="shared" si="76"/>
        <v>3.3653604599999993</v>
      </c>
      <c r="K1546" s="8">
        <f t="shared" si="75"/>
        <v>3.6629476918821671</v>
      </c>
      <c r="L1546" s="8">
        <f t="shared" si="77"/>
        <v>1.8314738459410835</v>
      </c>
    </row>
    <row r="1547" spans="1:12" x14ac:dyDescent="0.25">
      <c r="A1547" s="1">
        <v>1548</v>
      </c>
      <c r="B1547" s="1">
        <v>641</v>
      </c>
      <c r="C1547" s="3" t="s">
        <v>63</v>
      </c>
      <c r="D1547" s="5" t="s">
        <v>22</v>
      </c>
      <c r="E1547" s="10">
        <v>1.1399999999999999</v>
      </c>
      <c r="F1547" s="10">
        <v>9.7100000000000009</v>
      </c>
      <c r="G1547" s="10">
        <v>4.4400000000000004</v>
      </c>
      <c r="H1547" s="10">
        <v>1.92</v>
      </c>
      <c r="I1547" s="8">
        <f t="shared" si="76"/>
        <v>2.8952985600000001</v>
      </c>
      <c r="K1547" s="8">
        <f t="shared" si="75"/>
        <v>6.0916592820792097</v>
      </c>
      <c r="L1547" s="8">
        <f t="shared" si="77"/>
        <v>3.0458296410396049</v>
      </c>
    </row>
    <row r="1548" spans="1:12" x14ac:dyDescent="0.25">
      <c r="A1548" s="1">
        <v>1549</v>
      </c>
      <c r="B1548" s="1">
        <v>642</v>
      </c>
      <c r="C1548" s="3" t="s">
        <v>63</v>
      </c>
      <c r="D1548" s="5" t="s">
        <v>22</v>
      </c>
      <c r="E1548" s="10">
        <v>1.48</v>
      </c>
      <c r="F1548" s="10">
        <v>11.79</v>
      </c>
      <c r="G1548" s="10">
        <v>7.77</v>
      </c>
      <c r="H1548" s="10">
        <v>1.88</v>
      </c>
      <c r="I1548" s="8">
        <f t="shared" si="76"/>
        <v>2.7759177599999996</v>
      </c>
      <c r="K1548" s="8">
        <f t="shared" ref="K1548:K1611" si="78">0.2811*G1548^2.0635</f>
        <v>19.330568115256945</v>
      </c>
      <c r="L1548" s="8">
        <f t="shared" si="77"/>
        <v>9.6652840576284724</v>
      </c>
    </row>
    <row r="1549" spans="1:12" x14ac:dyDescent="0.25">
      <c r="A1549" s="1">
        <v>1550</v>
      </c>
      <c r="B1549" s="1">
        <v>643</v>
      </c>
      <c r="C1549" s="3" t="s">
        <v>63</v>
      </c>
      <c r="D1549" s="5" t="s">
        <v>22</v>
      </c>
      <c r="E1549" s="10">
        <v>1.59</v>
      </c>
      <c r="F1549" s="10">
        <v>5.66</v>
      </c>
      <c r="G1549" s="10">
        <v>3.21</v>
      </c>
      <c r="H1549" s="10">
        <v>1.7</v>
      </c>
      <c r="I1549" s="8">
        <f t="shared" si="76"/>
        <v>2.2698059999999995</v>
      </c>
      <c r="K1549" s="8">
        <f t="shared" si="78"/>
        <v>3.1191336211248299</v>
      </c>
      <c r="L1549" s="8">
        <f t="shared" si="77"/>
        <v>1.559566810562415</v>
      </c>
    </row>
    <row r="1550" spans="1:12" x14ac:dyDescent="0.25">
      <c r="A1550" s="1">
        <v>1551</v>
      </c>
      <c r="B1550" s="1">
        <v>644</v>
      </c>
      <c r="C1550" s="3" t="s">
        <v>63</v>
      </c>
      <c r="D1550" s="5" t="s">
        <v>22</v>
      </c>
      <c r="E1550" s="10">
        <v>2.31</v>
      </c>
      <c r="F1550" s="10">
        <v>9.7100000000000009</v>
      </c>
      <c r="G1550" s="10">
        <v>6.5</v>
      </c>
      <c r="H1550" s="10">
        <v>1.67</v>
      </c>
      <c r="I1550" s="8">
        <f t="shared" si="76"/>
        <v>2.1904020599999998</v>
      </c>
      <c r="K1550" s="8">
        <f t="shared" si="78"/>
        <v>13.37542396994003</v>
      </c>
      <c r="L1550" s="8">
        <f t="shared" si="77"/>
        <v>6.6877119849700151</v>
      </c>
    </row>
    <row r="1551" spans="1:12" x14ac:dyDescent="0.25">
      <c r="A1551" s="1">
        <v>1552</v>
      </c>
      <c r="B1551" s="1">
        <v>645</v>
      </c>
      <c r="C1551" s="3" t="s">
        <v>63</v>
      </c>
      <c r="D1551" s="5" t="s">
        <v>22</v>
      </c>
      <c r="E1551" s="10">
        <v>1.35</v>
      </c>
      <c r="F1551" s="10">
        <v>8.11</v>
      </c>
      <c r="G1551" s="10">
        <v>8.9700000000000006</v>
      </c>
      <c r="H1551" s="10">
        <v>2.08</v>
      </c>
      <c r="I1551" s="8">
        <f t="shared" si="76"/>
        <v>3.3979545600000005</v>
      </c>
      <c r="K1551" s="8">
        <f t="shared" si="78"/>
        <v>25.9984856346036</v>
      </c>
      <c r="L1551" s="8">
        <f t="shared" si="77"/>
        <v>12.9992428173018</v>
      </c>
    </row>
    <row r="1552" spans="1:12" x14ac:dyDescent="0.25">
      <c r="A1552" s="1">
        <v>1553</v>
      </c>
      <c r="B1552" s="1">
        <v>646</v>
      </c>
      <c r="C1552" s="3" t="s">
        <v>63</v>
      </c>
      <c r="D1552" s="5" t="s">
        <v>22</v>
      </c>
      <c r="E1552" s="10">
        <v>2.23</v>
      </c>
      <c r="F1552" s="10">
        <v>11.08</v>
      </c>
      <c r="G1552" s="10">
        <v>8.1300000000000008</v>
      </c>
      <c r="H1552" s="10">
        <v>1.92</v>
      </c>
      <c r="I1552" s="8">
        <f t="shared" si="76"/>
        <v>2.8952985600000001</v>
      </c>
      <c r="K1552" s="8">
        <f t="shared" si="78"/>
        <v>21.224266317459797</v>
      </c>
      <c r="L1552" s="8">
        <f t="shared" si="77"/>
        <v>10.612133158729899</v>
      </c>
    </row>
    <row r="1553" spans="1:12" x14ac:dyDescent="0.25">
      <c r="A1553" s="1">
        <v>1554</v>
      </c>
      <c r="B1553" s="1">
        <v>647</v>
      </c>
      <c r="C1553" s="3" t="s">
        <v>63</v>
      </c>
      <c r="D1553" s="5" t="s">
        <v>22</v>
      </c>
      <c r="E1553" s="10">
        <v>1.48</v>
      </c>
      <c r="F1553" s="10">
        <v>6.24</v>
      </c>
      <c r="G1553" s="10">
        <v>6.13</v>
      </c>
      <c r="H1553" s="10">
        <v>1.72</v>
      </c>
      <c r="I1553" s="8">
        <f t="shared" si="76"/>
        <v>2.3235273599999999</v>
      </c>
      <c r="K1553" s="8">
        <f t="shared" si="78"/>
        <v>11.851833311526814</v>
      </c>
      <c r="L1553" s="8">
        <f t="shared" si="77"/>
        <v>5.9259166557634071</v>
      </c>
    </row>
    <row r="1554" spans="1:12" x14ac:dyDescent="0.25">
      <c r="A1554" s="1">
        <v>1555</v>
      </c>
      <c r="B1554" s="1">
        <v>648</v>
      </c>
      <c r="C1554" s="3" t="s">
        <v>63</v>
      </c>
      <c r="D1554" s="5" t="s">
        <v>22</v>
      </c>
      <c r="E1554" s="10">
        <v>1.34</v>
      </c>
      <c r="F1554" s="10">
        <v>9.85</v>
      </c>
      <c r="G1554" s="10">
        <v>3.38</v>
      </c>
      <c r="H1554" s="10">
        <v>1.95</v>
      </c>
      <c r="I1554" s="8">
        <f t="shared" si="76"/>
        <v>2.9864834999999998</v>
      </c>
      <c r="K1554" s="8">
        <f t="shared" si="78"/>
        <v>3.469608368456687</v>
      </c>
      <c r="L1554" s="8">
        <f t="shared" si="77"/>
        <v>1.7348041842283435</v>
      </c>
    </row>
    <row r="1555" spans="1:12" x14ac:dyDescent="0.25">
      <c r="A1555" s="1">
        <v>1556</v>
      </c>
      <c r="B1555" s="1">
        <v>649</v>
      </c>
      <c r="C1555" s="3" t="s">
        <v>63</v>
      </c>
      <c r="D1555" s="5" t="s">
        <v>22</v>
      </c>
      <c r="E1555" s="10">
        <v>2.31</v>
      </c>
      <c r="F1555" s="10">
        <v>10.87</v>
      </c>
      <c r="G1555" s="10">
        <v>7.99</v>
      </c>
      <c r="H1555" s="10">
        <v>1.92</v>
      </c>
      <c r="I1555" s="8">
        <f t="shared" si="76"/>
        <v>2.8952985600000001</v>
      </c>
      <c r="K1555" s="8">
        <f t="shared" si="78"/>
        <v>20.47699030754621</v>
      </c>
      <c r="L1555" s="8">
        <f t="shared" si="77"/>
        <v>10.238495153773105</v>
      </c>
    </row>
    <row r="1556" spans="1:12" x14ac:dyDescent="0.25">
      <c r="A1556" s="1">
        <v>1557</v>
      </c>
      <c r="B1556" s="1">
        <v>650</v>
      </c>
      <c r="C1556" s="3" t="s">
        <v>63</v>
      </c>
      <c r="D1556" s="5" t="s">
        <v>22</v>
      </c>
      <c r="E1556" s="10">
        <v>1.49</v>
      </c>
      <c r="F1556" s="10">
        <v>11.61</v>
      </c>
      <c r="G1556" s="10">
        <v>6.59</v>
      </c>
      <c r="H1556" s="10">
        <v>1.89</v>
      </c>
      <c r="I1556" s="8">
        <f t="shared" si="76"/>
        <v>2.8055273399999998</v>
      </c>
      <c r="K1556" s="8">
        <f t="shared" si="78"/>
        <v>13.760394932592229</v>
      </c>
      <c r="L1556" s="8">
        <f t="shared" si="77"/>
        <v>6.8801974662961145</v>
      </c>
    </row>
    <row r="1557" spans="1:12" x14ac:dyDescent="0.25">
      <c r="A1557" s="1">
        <v>1558</v>
      </c>
      <c r="B1557" s="1">
        <v>651</v>
      </c>
      <c r="C1557" s="3" t="s">
        <v>63</v>
      </c>
      <c r="D1557" s="5" t="s">
        <v>22</v>
      </c>
      <c r="E1557" s="10">
        <v>1.88</v>
      </c>
      <c r="F1557" s="10">
        <v>9.7799999999999994</v>
      </c>
      <c r="G1557" s="10">
        <v>3.69</v>
      </c>
      <c r="H1557" s="10">
        <v>2.0699999999999998</v>
      </c>
      <c r="I1557" s="8">
        <f t="shared" si="76"/>
        <v>3.3653604599999993</v>
      </c>
      <c r="K1557" s="8">
        <f t="shared" si="78"/>
        <v>4.1583376669513124</v>
      </c>
      <c r="L1557" s="8">
        <f t="shared" si="77"/>
        <v>2.0791688334756562</v>
      </c>
    </row>
    <row r="1558" spans="1:12" x14ac:dyDescent="0.25">
      <c r="A1558" s="1">
        <v>1559</v>
      </c>
      <c r="B1558" s="1">
        <v>652</v>
      </c>
      <c r="C1558" s="3" t="s">
        <v>63</v>
      </c>
      <c r="D1558" s="5" t="s">
        <v>22</v>
      </c>
      <c r="E1558" s="10">
        <v>1.53</v>
      </c>
      <c r="F1558" s="10">
        <v>8.48</v>
      </c>
      <c r="G1558" s="10">
        <v>3.56</v>
      </c>
      <c r="H1558" s="10">
        <v>2.06</v>
      </c>
      <c r="I1558" s="8">
        <f t="shared" si="76"/>
        <v>3.3329234399999996</v>
      </c>
      <c r="K1558" s="8">
        <f t="shared" si="78"/>
        <v>3.8616945249882639</v>
      </c>
      <c r="L1558" s="8">
        <f t="shared" si="77"/>
        <v>1.930847262494132</v>
      </c>
    </row>
    <row r="1559" spans="1:12" x14ac:dyDescent="0.25">
      <c r="A1559" s="1">
        <v>1560</v>
      </c>
      <c r="B1559" s="1">
        <v>653</v>
      </c>
      <c r="C1559" s="3" t="s">
        <v>63</v>
      </c>
      <c r="D1559" s="5" t="s">
        <v>22</v>
      </c>
      <c r="E1559" s="10">
        <v>1.41</v>
      </c>
      <c r="F1559" s="10">
        <v>9.32</v>
      </c>
      <c r="G1559" s="10">
        <v>8.4600000000000009</v>
      </c>
      <c r="H1559" s="10">
        <v>2.0299999999999998</v>
      </c>
      <c r="I1559" s="8">
        <f t="shared" si="76"/>
        <v>3.2365548599999991</v>
      </c>
      <c r="K1559" s="8">
        <f t="shared" si="78"/>
        <v>23.040377464271003</v>
      </c>
      <c r="L1559" s="8">
        <f t="shared" si="77"/>
        <v>11.520188732135502</v>
      </c>
    </row>
    <row r="1560" spans="1:12" x14ac:dyDescent="0.25">
      <c r="A1560" s="1">
        <v>1561</v>
      </c>
      <c r="B1560" s="1">
        <v>654</v>
      </c>
      <c r="C1560" s="3" t="s">
        <v>63</v>
      </c>
      <c r="D1560" s="5" t="s">
        <v>22</v>
      </c>
      <c r="E1560" s="10">
        <v>1.87</v>
      </c>
      <c r="F1560" s="10">
        <v>11.08</v>
      </c>
      <c r="G1560" s="10">
        <v>7.02</v>
      </c>
      <c r="H1560" s="10">
        <v>1.87</v>
      </c>
      <c r="I1560" s="8">
        <f t="shared" si="76"/>
        <v>2.7464652600000004</v>
      </c>
      <c r="K1560" s="8">
        <f t="shared" si="78"/>
        <v>15.677524079343854</v>
      </c>
      <c r="L1560" s="8">
        <f t="shared" si="77"/>
        <v>7.8387620396719271</v>
      </c>
    </row>
    <row r="1561" spans="1:12" x14ac:dyDescent="0.25">
      <c r="A1561" s="1">
        <v>1562</v>
      </c>
      <c r="B1561" s="1">
        <v>655</v>
      </c>
      <c r="C1561" s="3" t="s">
        <v>63</v>
      </c>
      <c r="D1561" s="5" t="s">
        <v>22</v>
      </c>
      <c r="E1561" s="10">
        <v>1.75</v>
      </c>
      <c r="F1561" s="10">
        <v>8.99</v>
      </c>
      <c r="G1561" s="10">
        <v>7.98</v>
      </c>
      <c r="H1561" s="10">
        <v>1.78</v>
      </c>
      <c r="I1561" s="8">
        <f t="shared" si="76"/>
        <v>2.4884613600000001</v>
      </c>
      <c r="K1561" s="8">
        <f t="shared" si="78"/>
        <v>20.424141560100971</v>
      </c>
      <c r="L1561" s="8">
        <f t="shared" si="77"/>
        <v>10.212070780050485</v>
      </c>
    </row>
    <row r="1562" spans="1:12" x14ac:dyDescent="0.25">
      <c r="A1562" s="1">
        <v>1563</v>
      </c>
      <c r="B1562" s="1">
        <v>656</v>
      </c>
      <c r="C1562" s="3" t="s">
        <v>63</v>
      </c>
      <c r="D1562" s="5" t="s">
        <v>22</v>
      </c>
      <c r="E1562" s="10">
        <v>1.37</v>
      </c>
      <c r="F1562" s="10">
        <v>5.21</v>
      </c>
      <c r="G1562" s="10">
        <v>8.27</v>
      </c>
      <c r="H1562" s="10">
        <v>2.06</v>
      </c>
      <c r="I1562" s="8">
        <f t="shared" si="76"/>
        <v>3.3329234399999996</v>
      </c>
      <c r="K1562" s="8">
        <f t="shared" si="78"/>
        <v>21.985354086501786</v>
      </c>
      <c r="L1562" s="8">
        <f t="shared" si="77"/>
        <v>10.992677043250893</v>
      </c>
    </row>
    <row r="1563" spans="1:12" x14ac:dyDescent="0.25">
      <c r="A1563" s="1">
        <v>1564</v>
      </c>
      <c r="B1563" s="1">
        <v>657</v>
      </c>
      <c r="C1563" s="3" t="s">
        <v>63</v>
      </c>
      <c r="D1563" s="5" t="s">
        <v>22</v>
      </c>
      <c r="E1563" s="10">
        <v>1.42</v>
      </c>
      <c r="F1563" s="10">
        <v>11.52</v>
      </c>
      <c r="G1563" s="10">
        <v>6.43</v>
      </c>
      <c r="H1563" s="10">
        <v>2.02</v>
      </c>
      <c r="I1563" s="8">
        <f t="shared" si="76"/>
        <v>3.20474616</v>
      </c>
      <c r="K1563" s="8">
        <f t="shared" si="78"/>
        <v>13.079892908974303</v>
      </c>
      <c r="L1563" s="8">
        <f t="shared" si="77"/>
        <v>6.5399464544871515</v>
      </c>
    </row>
    <row r="1564" spans="1:12" x14ac:dyDescent="0.25">
      <c r="A1564" s="1">
        <v>1565</v>
      </c>
      <c r="B1564" s="1">
        <v>658</v>
      </c>
      <c r="C1564" s="3" t="s">
        <v>63</v>
      </c>
      <c r="D1564" s="5" t="s">
        <v>22</v>
      </c>
      <c r="E1564" s="10">
        <v>1.87</v>
      </c>
      <c r="F1564" s="10">
        <v>9.83</v>
      </c>
      <c r="G1564" s="10">
        <v>6.1</v>
      </c>
      <c r="H1564" s="10">
        <v>1.81</v>
      </c>
      <c r="I1564" s="8">
        <f t="shared" si="76"/>
        <v>2.5730489400000001</v>
      </c>
      <c r="K1564" s="8">
        <f t="shared" si="78"/>
        <v>11.732456702137226</v>
      </c>
      <c r="L1564" s="8">
        <f t="shared" si="77"/>
        <v>5.8662283510686128</v>
      </c>
    </row>
    <row r="1565" spans="1:12" x14ac:dyDescent="0.25">
      <c r="A1565" s="1">
        <v>1566</v>
      </c>
      <c r="B1565" s="1">
        <v>659</v>
      </c>
      <c r="C1565" s="3" t="s">
        <v>63</v>
      </c>
      <c r="D1565" s="5" t="s">
        <v>22</v>
      </c>
      <c r="E1565" s="10">
        <v>1.29</v>
      </c>
      <c r="F1565" s="10">
        <v>9.74</v>
      </c>
      <c r="G1565" s="10">
        <v>5.58</v>
      </c>
      <c r="H1565" s="10">
        <v>1.92</v>
      </c>
      <c r="I1565" s="8">
        <f t="shared" si="76"/>
        <v>2.8952985600000001</v>
      </c>
      <c r="K1565" s="8">
        <f t="shared" si="78"/>
        <v>9.7620384775142846</v>
      </c>
      <c r="L1565" s="8">
        <f t="shared" si="77"/>
        <v>4.8810192387571423</v>
      </c>
    </row>
    <row r="1566" spans="1:12" x14ac:dyDescent="0.25">
      <c r="A1566" s="1">
        <v>1567</v>
      </c>
      <c r="B1566" s="1">
        <v>660</v>
      </c>
      <c r="C1566" s="3" t="s">
        <v>63</v>
      </c>
      <c r="D1566" s="5" t="s">
        <v>22</v>
      </c>
      <c r="E1566" s="10">
        <v>1.82</v>
      </c>
      <c r="F1566" s="10">
        <v>6.51</v>
      </c>
      <c r="G1566" s="10">
        <v>4.9000000000000004</v>
      </c>
      <c r="H1566" s="10">
        <v>1.73</v>
      </c>
      <c r="I1566" s="8">
        <f t="shared" si="76"/>
        <v>2.3506236600000001</v>
      </c>
      <c r="K1566" s="8">
        <f t="shared" si="78"/>
        <v>7.4658705720093703</v>
      </c>
      <c r="L1566" s="8">
        <f t="shared" si="77"/>
        <v>3.7329352860046852</v>
      </c>
    </row>
    <row r="1567" spans="1:12" x14ac:dyDescent="0.25">
      <c r="A1567" s="1">
        <v>1568</v>
      </c>
      <c r="B1567" s="1">
        <v>661</v>
      </c>
      <c r="C1567" s="3" t="s">
        <v>63</v>
      </c>
      <c r="D1567" s="5" t="s">
        <v>22</v>
      </c>
      <c r="E1567" s="10">
        <v>1.34</v>
      </c>
      <c r="F1567" s="10">
        <v>9.61</v>
      </c>
      <c r="G1567" s="10">
        <v>5.61</v>
      </c>
      <c r="H1567" s="10">
        <v>1.67</v>
      </c>
      <c r="I1567" s="8">
        <f t="shared" si="76"/>
        <v>2.1904020599999998</v>
      </c>
      <c r="K1567" s="8">
        <f t="shared" si="78"/>
        <v>9.8706490256025461</v>
      </c>
      <c r="L1567" s="8">
        <f t="shared" si="77"/>
        <v>4.935324512801273</v>
      </c>
    </row>
    <row r="1568" spans="1:12" x14ac:dyDescent="0.25">
      <c r="A1568" s="1">
        <v>1569</v>
      </c>
      <c r="B1568" s="1">
        <v>662</v>
      </c>
      <c r="C1568" s="3" t="s">
        <v>63</v>
      </c>
      <c r="D1568" s="5" t="s">
        <v>22</v>
      </c>
      <c r="E1568" s="10">
        <v>2.31</v>
      </c>
      <c r="F1568" s="10">
        <v>7.76</v>
      </c>
      <c r="G1568" s="10">
        <v>7.64</v>
      </c>
      <c r="H1568" s="10">
        <v>2.1</v>
      </c>
      <c r="I1568" s="8">
        <f t="shared" si="76"/>
        <v>3.4636140000000002</v>
      </c>
      <c r="K1568" s="8">
        <f t="shared" si="78"/>
        <v>18.669126181095489</v>
      </c>
      <c r="L1568" s="8">
        <f t="shared" si="77"/>
        <v>9.3345630905477446</v>
      </c>
    </row>
    <row r="1569" spans="1:12" x14ac:dyDescent="0.25">
      <c r="A1569" s="1">
        <v>1570</v>
      </c>
      <c r="B1569" s="1">
        <v>663</v>
      </c>
      <c r="C1569" s="3" t="s">
        <v>63</v>
      </c>
      <c r="D1569" s="5" t="s">
        <v>22</v>
      </c>
      <c r="E1569" s="10">
        <v>1.84</v>
      </c>
      <c r="F1569" s="10">
        <v>9.56</v>
      </c>
      <c r="G1569" s="10">
        <v>6.61</v>
      </c>
      <c r="H1569" s="10">
        <v>2.0099999999999998</v>
      </c>
      <c r="I1569" s="8">
        <f t="shared" si="76"/>
        <v>3.1730945399999992</v>
      </c>
      <c r="K1569" s="8">
        <f t="shared" si="78"/>
        <v>13.846708745338528</v>
      </c>
      <c r="L1569" s="8">
        <f t="shared" si="77"/>
        <v>6.9233543726692641</v>
      </c>
    </row>
    <row r="1570" spans="1:12" x14ac:dyDescent="0.25">
      <c r="A1570" s="1">
        <v>1571</v>
      </c>
      <c r="B1570" s="1">
        <v>664</v>
      </c>
      <c r="C1570" s="3" t="s">
        <v>63</v>
      </c>
      <c r="D1570" s="5" t="s">
        <v>22</v>
      </c>
      <c r="E1570" s="10">
        <v>2.2000000000000002</v>
      </c>
      <c r="F1570" s="10">
        <v>5.75</v>
      </c>
      <c r="G1570" s="10">
        <v>8.36</v>
      </c>
      <c r="H1570" s="10">
        <v>2.08</v>
      </c>
      <c r="I1570" s="8">
        <f t="shared" si="76"/>
        <v>3.3979545600000005</v>
      </c>
      <c r="K1570" s="8">
        <f t="shared" si="78"/>
        <v>22.481925229592129</v>
      </c>
      <c r="L1570" s="8">
        <f t="shared" si="77"/>
        <v>11.240962614796064</v>
      </c>
    </row>
    <row r="1571" spans="1:12" x14ac:dyDescent="0.25">
      <c r="A1571" s="1">
        <v>1572</v>
      </c>
      <c r="B1571" s="1">
        <v>665</v>
      </c>
      <c r="C1571" s="3" t="s">
        <v>63</v>
      </c>
      <c r="D1571" s="5" t="s">
        <v>22</v>
      </c>
      <c r="E1571" s="10">
        <v>1.49</v>
      </c>
      <c r="F1571" s="10">
        <v>9.6</v>
      </c>
      <c r="G1571" s="10">
        <v>5.66</v>
      </c>
      <c r="H1571" s="10">
        <v>1.94</v>
      </c>
      <c r="I1571" s="8">
        <f t="shared" si="76"/>
        <v>2.9559314399999996</v>
      </c>
      <c r="K1571" s="8">
        <f t="shared" si="78"/>
        <v>10.053043259086071</v>
      </c>
      <c r="L1571" s="8">
        <f t="shared" si="77"/>
        <v>5.0265216295430353</v>
      </c>
    </row>
    <row r="1572" spans="1:12" x14ac:dyDescent="0.25">
      <c r="A1572" s="1">
        <v>1573</v>
      </c>
      <c r="B1572" s="1">
        <v>666</v>
      </c>
      <c r="C1572" s="3" t="s">
        <v>63</v>
      </c>
      <c r="D1572" s="5" t="s">
        <v>22</v>
      </c>
      <c r="E1572" s="10">
        <v>1.29</v>
      </c>
      <c r="F1572" s="10">
        <v>12</v>
      </c>
      <c r="G1572" s="10">
        <v>6.64</v>
      </c>
      <c r="H1572" s="10">
        <v>2.0299999999999998</v>
      </c>
      <c r="I1572" s="8">
        <f t="shared" si="76"/>
        <v>3.2365548599999991</v>
      </c>
      <c r="K1572" s="8">
        <f t="shared" si="78"/>
        <v>13.976701092273087</v>
      </c>
      <c r="L1572" s="8">
        <f t="shared" si="77"/>
        <v>6.9883505461365436</v>
      </c>
    </row>
    <row r="1573" spans="1:12" x14ac:dyDescent="0.25">
      <c r="A1573" s="1">
        <v>1574</v>
      </c>
      <c r="B1573" s="1">
        <v>667</v>
      </c>
      <c r="C1573" s="3" t="s">
        <v>63</v>
      </c>
      <c r="D1573" s="5" t="s">
        <v>22</v>
      </c>
      <c r="E1573" s="10">
        <v>2.0499999999999998</v>
      </c>
      <c r="F1573" s="10">
        <v>5.34</v>
      </c>
      <c r="G1573" s="10">
        <v>6.79</v>
      </c>
      <c r="H1573" s="10">
        <v>2.0099999999999998</v>
      </c>
      <c r="I1573" s="8">
        <f t="shared" si="76"/>
        <v>3.1730945399999992</v>
      </c>
      <c r="K1573" s="8">
        <f t="shared" si="78"/>
        <v>14.636058100707912</v>
      </c>
      <c r="L1573" s="8">
        <f t="shared" si="77"/>
        <v>7.3180290503539558</v>
      </c>
    </row>
    <row r="1574" spans="1:12" x14ac:dyDescent="0.25">
      <c r="A1574" s="1">
        <v>1575</v>
      </c>
      <c r="B1574" s="1">
        <v>668</v>
      </c>
      <c r="C1574" s="3" t="s">
        <v>63</v>
      </c>
      <c r="D1574" s="5" t="s">
        <v>22</v>
      </c>
      <c r="E1574" s="10">
        <v>1.42</v>
      </c>
      <c r="F1574" s="10">
        <v>11.84</v>
      </c>
      <c r="G1574" s="10">
        <v>6.55</v>
      </c>
      <c r="H1574" s="10">
        <v>1.98</v>
      </c>
      <c r="I1574" s="8">
        <f t="shared" si="76"/>
        <v>3.07908216</v>
      </c>
      <c r="K1574" s="8">
        <f t="shared" si="78"/>
        <v>13.588601670650926</v>
      </c>
      <c r="L1574" s="8">
        <f t="shared" si="77"/>
        <v>6.7943008353254628</v>
      </c>
    </row>
    <row r="1575" spans="1:12" x14ac:dyDescent="0.25">
      <c r="A1575" s="1">
        <v>1576</v>
      </c>
      <c r="B1575" s="1">
        <v>669</v>
      </c>
      <c r="C1575" s="3" t="s">
        <v>63</v>
      </c>
      <c r="D1575" s="5" t="s">
        <v>22</v>
      </c>
      <c r="E1575" s="10">
        <v>1.93</v>
      </c>
      <c r="F1575" s="10">
        <v>7.85</v>
      </c>
      <c r="G1575" s="10">
        <v>7.22</v>
      </c>
      <c r="H1575" s="10">
        <v>2.09</v>
      </c>
      <c r="I1575" s="8">
        <f t="shared" si="76"/>
        <v>3.4307057399999992</v>
      </c>
      <c r="K1575" s="8">
        <f t="shared" si="78"/>
        <v>16.613164018382438</v>
      </c>
      <c r="L1575" s="8">
        <f t="shared" si="77"/>
        <v>8.306582009191219</v>
      </c>
    </row>
    <row r="1576" spans="1:12" x14ac:dyDescent="0.25">
      <c r="A1576" s="1">
        <v>1577</v>
      </c>
      <c r="B1576" s="1">
        <v>670</v>
      </c>
      <c r="C1576" s="3" t="s">
        <v>63</v>
      </c>
      <c r="D1576" s="5" t="s">
        <v>22</v>
      </c>
      <c r="E1576" s="10">
        <v>1.37</v>
      </c>
      <c r="F1576" s="10">
        <v>11.1</v>
      </c>
      <c r="G1576" s="10">
        <v>4.42</v>
      </c>
      <c r="H1576" s="10">
        <v>2.06</v>
      </c>
      <c r="I1576" s="8">
        <f t="shared" si="76"/>
        <v>3.3329234399999996</v>
      </c>
      <c r="K1576" s="8">
        <f t="shared" si="78"/>
        <v>6.0351726472941793</v>
      </c>
      <c r="L1576" s="8">
        <f t="shared" si="77"/>
        <v>3.0175863236470897</v>
      </c>
    </row>
    <row r="1577" spans="1:12" x14ac:dyDescent="0.25">
      <c r="A1577" s="1">
        <v>1578</v>
      </c>
      <c r="B1577" s="1">
        <v>671</v>
      </c>
      <c r="C1577" s="3" t="s">
        <v>63</v>
      </c>
      <c r="D1577" s="5" t="s">
        <v>22</v>
      </c>
      <c r="E1577" s="10">
        <v>1.84</v>
      </c>
      <c r="F1577" s="10">
        <v>10.48</v>
      </c>
      <c r="G1577" s="10">
        <v>6.07</v>
      </c>
      <c r="H1577" s="10">
        <v>1.73</v>
      </c>
      <c r="I1577" s="8">
        <f t="shared" si="76"/>
        <v>2.3506236600000001</v>
      </c>
      <c r="K1577" s="8">
        <f t="shared" si="78"/>
        <v>11.613702842717188</v>
      </c>
      <c r="L1577" s="8">
        <f t="shared" si="77"/>
        <v>5.8068514213585942</v>
      </c>
    </row>
    <row r="1578" spans="1:12" x14ac:dyDescent="0.25">
      <c r="A1578" s="1">
        <v>1579</v>
      </c>
      <c r="B1578" s="1">
        <v>672</v>
      </c>
      <c r="C1578" s="3" t="s">
        <v>63</v>
      </c>
      <c r="D1578" s="5" t="s">
        <v>22</v>
      </c>
      <c r="E1578" s="10">
        <v>2.16</v>
      </c>
      <c r="F1578" s="10">
        <v>8.9700000000000006</v>
      </c>
      <c r="G1578" s="10">
        <v>3.63</v>
      </c>
      <c r="H1578" s="10">
        <v>1.7</v>
      </c>
      <c r="I1578" s="8">
        <f t="shared" si="76"/>
        <v>2.2698059999999995</v>
      </c>
      <c r="K1578" s="8">
        <f t="shared" si="78"/>
        <v>4.0200195614420116</v>
      </c>
      <c r="L1578" s="8">
        <f t="shared" si="77"/>
        <v>2.0100097807210058</v>
      </c>
    </row>
    <row r="1579" spans="1:12" x14ac:dyDescent="0.25">
      <c r="A1579" s="1">
        <v>1580</v>
      </c>
      <c r="B1579" s="1">
        <v>673</v>
      </c>
      <c r="C1579" s="3" t="s">
        <v>63</v>
      </c>
      <c r="D1579" s="5" t="s">
        <v>22</v>
      </c>
      <c r="E1579" s="10">
        <v>1.44</v>
      </c>
      <c r="F1579" s="10">
        <v>10.17</v>
      </c>
      <c r="G1579" s="10">
        <v>5.31</v>
      </c>
      <c r="H1579" s="10">
        <v>2.0099999999999998</v>
      </c>
      <c r="I1579" s="8">
        <f t="shared" si="76"/>
        <v>3.1730945399999992</v>
      </c>
      <c r="K1579" s="8">
        <f t="shared" si="78"/>
        <v>8.8123835245320485</v>
      </c>
      <c r="L1579" s="8">
        <f t="shared" si="77"/>
        <v>4.4061917622660243</v>
      </c>
    </row>
    <row r="1580" spans="1:12" x14ac:dyDescent="0.25">
      <c r="A1580" s="1">
        <v>1581</v>
      </c>
      <c r="B1580" s="1">
        <v>674</v>
      </c>
      <c r="C1580" s="3" t="s">
        <v>63</v>
      </c>
      <c r="D1580" s="5" t="s">
        <v>22</v>
      </c>
      <c r="E1580" s="10">
        <v>1.1499999999999999</v>
      </c>
      <c r="F1580" s="10">
        <v>11.15</v>
      </c>
      <c r="G1580" s="10">
        <v>5.93</v>
      </c>
      <c r="H1580" s="10">
        <v>2.04</v>
      </c>
      <c r="I1580" s="8">
        <f t="shared" si="76"/>
        <v>3.2685206399999998</v>
      </c>
      <c r="K1580" s="8">
        <f t="shared" si="78"/>
        <v>11.067746551800935</v>
      </c>
      <c r="L1580" s="8">
        <f t="shared" si="77"/>
        <v>5.5338732759004676</v>
      </c>
    </row>
    <row r="1581" spans="1:12" x14ac:dyDescent="0.25">
      <c r="A1581" s="1">
        <v>1582</v>
      </c>
      <c r="B1581" s="1">
        <v>675</v>
      </c>
      <c r="C1581" s="3" t="s">
        <v>63</v>
      </c>
      <c r="D1581" s="5" t="s">
        <v>22</v>
      </c>
      <c r="E1581" s="10">
        <v>1.59</v>
      </c>
      <c r="F1581" s="10">
        <v>7.83</v>
      </c>
      <c r="G1581" s="10">
        <v>6.91</v>
      </c>
      <c r="H1581" s="10">
        <v>2.06</v>
      </c>
      <c r="I1581" s="8">
        <f t="shared" si="76"/>
        <v>3.3329234399999996</v>
      </c>
      <c r="K1581" s="8">
        <f t="shared" si="78"/>
        <v>15.174828668281439</v>
      </c>
      <c r="L1581" s="8">
        <f t="shared" si="77"/>
        <v>7.5874143341407194</v>
      </c>
    </row>
    <row r="1582" spans="1:12" x14ac:dyDescent="0.25">
      <c r="A1582" s="1">
        <v>1583</v>
      </c>
      <c r="B1582" s="1">
        <v>676</v>
      </c>
      <c r="C1582" s="3" t="s">
        <v>63</v>
      </c>
      <c r="D1582" s="5" t="s">
        <v>22</v>
      </c>
      <c r="E1582" s="10">
        <v>1.1200000000000001</v>
      </c>
      <c r="F1582" s="10">
        <v>7.29</v>
      </c>
      <c r="G1582" s="10">
        <v>8.6999999999999993</v>
      </c>
      <c r="H1582" s="10">
        <v>2.08</v>
      </c>
      <c r="I1582" s="8">
        <f t="shared" si="76"/>
        <v>3.3979545600000005</v>
      </c>
      <c r="K1582" s="8">
        <f t="shared" si="78"/>
        <v>24.409496621584523</v>
      </c>
      <c r="L1582" s="8">
        <f t="shared" si="77"/>
        <v>12.204748310792262</v>
      </c>
    </row>
    <row r="1583" spans="1:12" x14ac:dyDescent="0.25">
      <c r="A1583" s="1">
        <v>1584</v>
      </c>
      <c r="B1583" s="1">
        <v>677</v>
      </c>
      <c r="C1583" s="3" t="s">
        <v>63</v>
      </c>
      <c r="D1583" s="5" t="s">
        <v>22</v>
      </c>
      <c r="E1583" s="10">
        <v>2.23</v>
      </c>
      <c r="F1583" s="10">
        <v>9.67</v>
      </c>
      <c r="G1583" s="10">
        <v>6.6</v>
      </c>
      <c r="H1583" s="10">
        <v>1.7</v>
      </c>
      <c r="I1583" s="8">
        <f t="shared" si="76"/>
        <v>2.2698059999999995</v>
      </c>
      <c r="K1583" s="8">
        <f t="shared" si="78"/>
        <v>13.803517068231875</v>
      </c>
      <c r="L1583" s="8">
        <f t="shared" si="77"/>
        <v>6.9017585341159373</v>
      </c>
    </row>
    <row r="1584" spans="1:12" x14ac:dyDescent="0.25">
      <c r="A1584" s="1">
        <v>1585</v>
      </c>
      <c r="B1584" s="1">
        <v>678</v>
      </c>
      <c r="C1584" s="3" t="s">
        <v>63</v>
      </c>
      <c r="D1584" s="5" t="s">
        <v>22</v>
      </c>
      <c r="E1584" s="10">
        <v>1.19</v>
      </c>
      <c r="F1584" s="10">
        <v>10.65</v>
      </c>
      <c r="G1584" s="10">
        <v>7.46</v>
      </c>
      <c r="H1584" s="10">
        <v>1.77</v>
      </c>
      <c r="I1584" s="8">
        <f t="shared" si="76"/>
        <v>2.4605796600000001</v>
      </c>
      <c r="K1584" s="8">
        <f t="shared" si="78"/>
        <v>17.772863937302585</v>
      </c>
      <c r="L1584" s="8">
        <f t="shared" si="77"/>
        <v>8.8864319686512925</v>
      </c>
    </row>
    <row r="1585" spans="1:12" x14ac:dyDescent="0.25">
      <c r="A1585" s="1">
        <v>1586</v>
      </c>
      <c r="B1585" s="1">
        <v>679</v>
      </c>
      <c r="C1585" s="3" t="s">
        <v>63</v>
      </c>
      <c r="D1585" s="5" t="s">
        <v>22</v>
      </c>
      <c r="E1585" s="10">
        <v>2.2599999999999998</v>
      </c>
      <c r="F1585" s="10">
        <v>10.34</v>
      </c>
      <c r="G1585" s="10">
        <v>6.04</v>
      </c>
      <c r="H1585" s="10">
        <v>1.76</v>
      </c>
      <c r="I1585" s="8">
        <f t="shared" si="76"/>
        <v>2.4328550399999997</v>
      </c>
      <c r="K1585" s="8">
        <f t="shared" si="78"/>
        <v>11.49557153833489</v>
      </c>
      <c r="L1585" s="8">
        <f t="shared" si="77"/>
        <v>5.7477857691674448</v>
      </c>
    </row>
    <row r="1586" spans="1:12" x14ac:dyDescent="0.25">
      <c r="A1586" s="1">
        <v>1587</v>
      </c>
      <c r="B1586" s="1">
        <v>680</v>
      </c>
      <c r="C1586" s="3" t="s">
        <v>63</v>
      </c>
      <c r="D1586" s="5" t="s">
        <v>22</v>
      </c>
      <c r="E1586" s="10">
        <v>2.12</v>
      </c>
      <c r="F1586" s="10">
        <v>10.58</v>
      </c>
      <c r="G1586" s="10">
        <v>6.8</v>
      </c>
      <c r="H1586" s="10">
        <v>1.86</v>
      </c>
      <c r="I1586" s="8">
        <f t="shared" si="76"/>
        <v>2.7171698400000004</v>
      </c>
      <c r="K1586" s="8">
        <f t="shared" si="78"/>
        <v>14.680572325367066</v>
      </c>
      <c r="L1586" s="8">
        <f t="shared" si="77"/>
        <v>7.3402861626835332</v>
      </c>
    </row>
    <row r="1587" spans="1:12" x14ac:dyDescent="0.25">
      <c r="A1587" s="1">
        <v>1588</v>
      </c>
      <c r="B1587" s="1">
        <v>681</v>
      </c>
      <c r="C1587" s="3" t="s">
        <v>63</v>
      </c>
      <c r="D1587" s="5" t="s">
        <v>22</v>
      </c>
      <c r="E1587" s="10">
        <v>1.21</v>
      </c>
      <c r="F1587" s="10">
        <v>8.0500000000000007</v>
      </c>
      <c r="G1587" s="10">
        <v>3.43</v>
      </c>
      <c r="H1587" s="10">
        <v>1.75</v>
      </c>
      <c r="I1587" s="8">
        <f t="shared" si="76"/>
        <v>2.4052875</v>
      </c>
      <c r="K1587" s="8">
        <f t="shared" si="78"/>
        <v>3.5763520407682896</v>
      </c>
      <c r="L1587" s="8">
        <f t="shared" si="77"/>
        <v>1.7881760203841448</v>
      </c>
    </row>
    <row r="1588" spans="1:12" x14ac:dyDescent="0.25">
      <c r="A1588" s="1">
        <v>1589</v>
      </c>
      <c r="B1588" s="1">
        <v>682</v>
      </c>
      <c r="C1588" s="3" t="s">
        <v>63</v>
      </c>
      <c r="D1588" s="5" t="s">
        <v>22</v>
      </c>
      <c r="E1588" s="10">
        <v>1.5</v>
      </c>
      <c r="F1588" s="10">
        <v>10.72</v>
      </c>
      <c r="G1588" s="10">
        <v>4.53</v>
      </c>
      <c r="H1588" s="10">
        <v>2</v>
      </c>
      <c r="I1588" s="8">
        <f t="shared" si="76"/>
        <v>3.1415999999999999</v>
      </c>
      <c r="K1588" s="8">
        <f t="shared" si="78"/>
        <v>6.3492069864236145</v>
      </c>
      <c r="L1588" s="8">
        <f t="shared" si="77"/>
        <v>3.1746034932118072</v>
      </c>
    </row>
    <row r="1589" spans="1:12" x14ac:dyDescent="0.25">
      <c r="A1589" s="1">
        <v>1590</v>
      </c>
      <c r="B1589" s="1">
        <v>683</v>
      </c>
      <c r="C1589" s="3" t="s">
        <v>63</v>
      </c>
      <c r="D1589" s="5" t="s">
        <v>22</v>
      </c>
      <c r="E1589" s="10">
        <v>1.74</v>
      </c>
      <c r="F1589" s="10">
        <v>5.84</v>
      </c>
      <c r="G1589" s="10">
        <v>5.17</v>
      </c>
      <c r="H1589" s="10">
        <v>1.87</v>
      </c>
      <c r="I1589" s="8">
        <f t="shared" si="76"/>
        <v>2.7464652600000004</v>
      </c>
      <c r="K1589" s="8">
        <f t="shared" si="78"/>
        <v>8.3396645329276389</v>
      </c>
      <c r="L1589" s="8">
        <f t="shared" si="77"/>
        <v>4.1698322664638194</v>
      </c>
    </row>
    <row r="1590" spans="1:12" x14ac:dyDescent="0.25">
      <c r="A1590" s="1">
        <v>1591</v>
      </c>
      <c r="B1590" s="1">
        <v>684</v>
      </c>
      <c r="C1590" s="3" t="s">
        <v>63</v>
      </c>
      <c r="D1590" s="5" t="s">
        <v>22</v>
      </c>
      <c r="E1590" s="10">
        <v>1.86</v>
      </c>
      <c r="F1590" s="10">
        <v>8.81</v>
      </c>
      <c r="G1590" s="10">
        <v>5.83</v>
      </c>
      <c r="H1590" s="10">
        <v>2.0299999999999998</v>
      </c>
      <c r="I1590" s="8">
        <f t="shared" si="76"/>
        <v>3.2365548599999991</v>
      </c>
      <c r="K1590" s="8">
        <f t="shared" si="78"/>
        <v>10.686067382309096</v>
      </c>
      <c r="L1590" s="8">
        <f t="shared" si="77"/>
        <v>5.343033691154548</v>
      </c>
    </row>
    <row r="1591" spans="1:12" x14ac:dyDescent="0.25">
      <c r="A1591" s="1">
        <v>1592</v>
      </c>
      <c r="B1591" s="1">
        <v>685</v>
      </c>
      <c r="C1591" s="3" t="s">
        <v>63</v>
      </c>
      <c r="D1591" s="5" t="s">
        <v>22</v>
      </c>
      <c r="E1591" s="10">
        <v>1.53</v>
      </c>
      <c r="F1591" s="10">
        <v>5.04</v>
      </c>
      <c r="G1591" s="10">
        <v>3.27</v>
      </c>
      <c r="H1591" s="10">
        <v>1.79</v>
      </c>
      <c r="I1591" s="8">
        <f t="shared" si="76"/>
        <v>2.5165001399999998</v>
      </c>
      <c r="K1591" s="8">
        <f t="shared" si="78"/>
        <v>3.240635111915064</v>
      </c>
      <c r="L1591" s="8">
        <f t="shared" si="77"/>
        <v>1.620317555957532</v>
      </c>
    </row>
    <row r="1592" spans="1:12" x14ac:dyDescent="0.25">
      <c r="A1592" s="1">
        <v>1593</v>
      </c>
      <c r="B1592" s="1">
        <v>686</v>
      </c>
      <c r="C1592" s="3" t="s">
        <v>63</v>
      </c>
      <c r="D1592" s="5" t="s">
        <v>22</v>
      </c>
      <c r="E1592" s="10">
        <v>1.85</v>
      </c>
      <c r="F1592" s="10">
        <v>7.27</v>
      </c>
      <c r="G1592" s="10">
        <v>3.84</v>
      </c>
      <c r="H1592" s="10">
        <v>1.95</v>
      </c>
      <c r="I1592" s="8">
        <f t="shared" si="76"/>
        <v>2.9864834999999998</v>
      </c>
      <c r="K1592" s="8">
        <f t="shared" si="78"/>
        <v>4.514694076401689</v>
      </c>
      <c r="L1592" s="8">
        <f t="shared" si="77"/>
        <v>2.2573470382008445</v>
      </c>
    </row>
    <row r="1593" spans="1:12" x14ac:dyDescent="0.25">
      <c r="A1593" s="1">
        <v>1594</v>
      </c>
      <c r="B1593" s="1">
        <v>687</v>
      </c>
      <c r="C1593" s="3" t="s">
        <v>63</v>
      </c>
      <c r="D1593" s="5" t="s">
        <v>22</v>
      </c>
      <c r="E1593" s="10">
        <v>1.76</v>
      </c>
      <c r="F1593" s="10">
        <v>7.57</v>
      </c>
      <c r="G1593" s="10">
        <v>4.66</v>
      </c>
      <c r="H1593" s="10">
        <v>1.9</v>
      </c>
      <c r="I1593" s="8">
        <f t="shared" si="76"/>
        <v>2.8352939999999998</v>
      </c>
      <c r="K1593" s="8">
        <f t="shared" si="78"/>
        <v>6.7309317152507449</v>
      </c>
      <c r="L1593" s="8">
        <f t="shared" si="77"/>
        <v>3.3654658576253724</v>
      </c>
    </row>
    <row r="1594" spans="1:12" x14ac:dyDescent="0.25">
      <c r="A1594" s="1">
        <v>1595</v>
      </c>
      <c r="B1594" s="1">
        <v>688</v>
      </c>
      <c r="C1594" s="3" t="s">
        <v>63</v>
      </c>
      <c r="D1594" s="5" t="s">
        <v>22</v>
      </c>
      <c r="E1594" s="10">
        <v>2.23</v>
      </c>
      <c r="F1594" s="10">
        <v>7.77</v>
      </c>
      <c r="G1594" s="10">
        <v>8.83</v>
      </c>
      <c r="H1594" s="10">
        <v>1.86</v>
      </c>
      <c r="I1594" s="8">
        <f t="shared" si="76"/>
        <v>2.7171698400000004</v>
      </c>
      <c r="K1594" s="8">
        <f t="shared" si="78"/>
        <v>25.168118925983869</v>
      </c>
      <c r="L1594" s="8">
        <f t="shared" si="77"/>
        <v>12.584059462991934</v>
      </c>
    </row>
    <row r="1595" spans="1:12" x14ac:dyDescent="0.25">
      <c r="A1595" s="1">
        <v>1596</v>
      </c>
      <c r="B1595" s="1">
        <v>689</v>
      </c>
      <c r="C1595" s="3" t="s">
        <v>63</v>
      </c>
      <c r="D1595" s="5" t="s">
        <v>22</v>
      </c>
      <c r="E1595" s="10">
        <v>1.87</v>
      </c>
      <c r="F1595" s="10">
        <v>9.8699999999999992</v>
      </c>
      <c r="G1595" s="10">
        <v>4.99</v>
      </c>
      <c r="H1595" s="10">
        <v>1.7</v>
      </c>
      <c r="I1595" s="8">
        <f t="shared" si="76"/>
        <v>2.2698059999999995</v>
      </c>
      <c r="K1595" s="8">
        <f t="shared" si="78"/>
        <v>7.7515994190736004</v>
      </c>
      <c r="L1595" s="8">
        <f t="shared" si="77"/>
        <v>3.8757997095368002</v>
      </c>
    </row>
    <row r="1596" spans="1:12" x14ac:dyDescent="0.25">
      <c r="A1596" s="1">
        <v>1597</v>
      </c>
      <c r="B1596" s="1">
        <v>690</v>
      </c>
      <c r="C1596" s="3" t="s">
        <v>63</v>
      </c>
      <c r="D1596" s="5" t="s">
        <v>22</v>
      </c>
      <c r="E1596" s="10">
        <v>2.12</v>
      </c>
      <c r="F1596" s="10">
        <v>7.72</v>
      </c>
      <c r="G1596" s="10">
        <v>5.89</v>
      </c>
      <c r="H1596" s="10">
        <v>2.04</v>
      </c>
      <c r="I1596" s="8">
        <f t="shared" si="76"/>
        <v>3.2685206399999998</v>
      </c>
      <c r="K1596" s="8">
        <f t="shared" si="78"/>
        <v>10.914246455581218</v>
      </c>
      <c r="L1596" s="8">
        <f t="shared" si="77"/>
        <v>5.4571232277906088</v>
      </c>
    </row>
    <row r="1597" spans="1:12" x14ac:dyDescent="0.25">
      <c r="A1597" s="1">
        <v>1598</v>
      </c>
      <c r="B1597" s="1">
        <v>691</v>
      </c>
      <c r="C1597" s="3" t="s">
        <v>63</v>
      </c>
      <c r="D1597" s="5" t="s">
        <v>22</v>
      </c>
      <c r="E1597" s="10">
        <v>2.21</v>
      </c>
      <c r="F1597" s="10">
        <v>8.14</v>
      </c>
      <c r="G1597" s="10">
        <v>4.18</v>
      </c>
      <c r="H1597" s="10">
        <v>1.81</v>
      </c>
      <c r="I1597" s="8">
        <f t="shared" si="76"/>
        <v>2.5730489400000001</v>
      </c>
      <c r="K1597" s="8">
        <f t="shared" si="78"/>
        <v>5.378461980963797</v>
      </c>
      <c r="L1597" s="8">
        <f t="shared" si="77"/>
        <v>2.6892309904818985</v>
      </c>
    </row>
    <row r="1598" spans="1:12" x14ac:dyDescent="0.25">
      <c r="A1598" s="1">
        <v>1599</v>
      </c>
      <c r="B1598" s="1">
        <v>692</v>
      </c>
      <c r="C1598" s="3" t="s">
        <v>63</v>
      </c>
      <c r="D1598" s="5" t="s">
        <v>22</v>
      </c>
      <c r="E1598" s="10">
        <v>1.18</v>
      </c>
      <c r="F1598" s="10">
        <v>6.66</v>
      </c>
      <c r="G1598" s="10">
        <v>6.66</v>
      </c>
      <c r="H1598" s="10">
        <v>1.68</v>
      </c>
      <c r="I1598" s="8">
        <f t="shared" si="76"/>
        <v>2.2167129599999997</v>
      </c>
      <c r="K1598" s="8">
        <f t="shared" si="78"/>
        <v>14.063710486555756</v>
      </c>
      <c r="L1598" s="8">
        <f t="shared" si="77"/>
        <v>7.031855243277878</v>
      </c>
    </row>
    <row r="1599" spans="1:12" x14ac:dyDescent="0.25">
      <c r="A1599" s="1">
        <v>1600</v>
      </c>
      <c r="B1599" s="1">
        <v>693</v>
      </c>
      <c r="C1599" s="3" t="s">
        <v>63</v>
      </c>
      <c r="D1599" s="5" t="s">
        <v>22</v>
      </c>
      <c r="E1599" s="10">
        <v>1.61</v>
      </c>
      <c r="F1599" s="10">
        <v>7.61</v>
      </c>
      <c r="G1599" s="10">
        <v>4.68</v>
      </c>
      <c r="H1599" s="10">
        <v>1.95</v>
      </c>
      <c r="I1599" s="8">
        <f t="shared" si="76"/>
        <v>2.9864834999999998</v>
      </c>
      <c r="K1599" s="8">
        <f t="shared" si="78"/>
        <v>6.7906784037719463</v>
      </c>
      <c r="L1599" s="8">
        <f t="shared" si="77"/>
        <v>3.3953392018859732</v>
      </c>
    </row>
    <row r="1600" spans="1:12" x14ac:dyDescent="0.25">
      <c r="A1600" s="1">
        <v>1601</v>
      </c>
      <c r="B1600" s="1">
        <v>694</v>
      </c>
      <c r="C1600" s="3" t="s">
        <v>63</v>
      </c>
      <c r="D1600" s="5" t="s">
        <v>22</v>
      </c>
      <c r="E1600" s="10">
        <v>1.51</v>
      </c>
      <c r="F1600" s="10">
        <v>6.59</v>
      </c>
      <c r="G1600" s="10">
        <v>4.24</v>
      </c>
      <c r="H1600" s="10">
        <v>1.72</v>
      </c>
      <c r="I1600" s="8">
        <f t="shared" si="76"/>
        <v>2.3235273599999999</v>
      </c>
      <c r="K1600" s="8">
        <f t="shared" si="78"/>
        <v>5.538986296332105</v>
      </c>
      <c r="L1600" s="8">
        <f t="shared" si="77"/>
        <v>2.7694931481660525</v>
      </c>
    </row>
    <row r="1601" spans="1:12" x14ac:dyDescent="0.25">
      <c r="A1601" s="1">
        <v>1602</v>
      </c>
      <c r="B1601" s="1">
        <v>695</v>
      </c>
      <c r="C1601" s="3" t="s">
        <v>63</v>
      </c>
      <c r="D1601" s="5" t="s">
        <v>22</v>
      </c>
      <c r="E1601" s="10">
        <v>1.31</v>
      </c>
      <c r="F1601" s="10">
        <v>5.51</v>
      </c>
      <c r="G1601" s="10">
        <v>6.1</v>
      </c>
      <c r="H1601" s="10">
        <v>1.68</v>
      </c>
      <c r="I1601" s="8">
        <f t="shared" ref="I1601:I1664" si="79">0.7854*H1601^2</f>
        <v>2.2167129599999997</v>
      </c>
      <c r="K1601" s="8">
        <f t="shared" si="78"/>
        <v>11.732456702137226</v>
      </c>
      <c r="L1601" s="8">
        <f t="shared" ref="L1601:L1664" si="80">K1601*0.5</f>
        <v>5.8662283510686128</v>
      </c>
    </row>
    <row r="1602" spans="1:12" x14ac:dyDescent="0.25">
      <c r="A1602" s="1">
        <v>1603</v>
      </c>
      <c r="B1602" s="1">
        <v>696</v>
      </c>
      <c r="C1602" s="3" t="s">
        <v>63</v>
      </c>
      <c r="D1602" s="5" t="s">
        <v>22</v>
      </c>
      <c r="E1602" s="10">
        <v>1.7</v>
      </c>
      <c r="F1602" s="10">
        <v>9.2200000000000006</v>
      </c>
      <c r="G1602" s="10">
        <v>3.03</v>
      </c>
      <c r="H1602" s="10">
        <v>1.87</v>
      </c>
      <c r="I1602" s="8">
        <f t="shared" si="79"/>
        <v>2.7464652600000004</v>
      </c>
      <c r="K1602" s="8">
        <f t="shared" si="78"/>
        <v>2.7689665510245023</v>
      </c>
      <c r="L1602" s="8">
        <f t="shared" si="80"/>
        <v>1.3844832755122511</v>
      </c>
    </row>
    <row r="1603" spans="1:12" x14ac:dyDescent="0.25">
      <c r="A1603" s="1">
        <v>1604</v>
      </c>
      <c r="B1603" s="1">
        <v>697</v>
      </c>
      <c r="C1603" s="3" t="s">
        <v>63</v>
      </c>
      <c r="D1603" s="5" t="s">
        <v>22</v>
      </c>
      <c r="E1603" s="10">
        <v>1.72</v>
      </c>
      <c r="F1603" s="10">
        <v>9.68</v>
      </c>
      <c r="G1603" s="10">
        <v>3.05</v>
      </c>
      <c r="H1603" s="10">
        <v>1.89</v>
      </c>
      <c r="I1603" s="8">
        <f t="shared" si="79"/>
        <v>2.8055273399999998</v>
      </c>
      <c r="K1603" s="8">
        <f t="shared" si="78"/>
        <v>2.8068135478312781</v>
      </c>
      <c r="L1603" s="8">
        <f t="shared" si="80"/>
        <v>1.4034067739156391</v>
      </c>
    </row>
    <row r="1604" spans="1:12" x14ac:dyDescent="0.25">
      <c r="A1604" s="1">
        <v>1605</v>
      </c>
      <c r="B1604" s="1">
        <v>698</v>
      </c>
      <c r="C1604" s="3" t="s">
        <v>63</v>
      </c>
      <c r="D1604" s="5" t="s">
        <v>22</v>
      </c>
      <c r="E1604" s="10">
        <v>1.41</v>
      </c>
      <c r="F1604" s="10">
        <v>9.34</v>
      </c>
      <c r="G1604" s="10">
        <v>4.3099999999999996</v>
      </c>
      <c r="H1604" s="10">
        <v>2.0099999999999998</v>
      </c>
      <c r="I1604" s="8">
        <f t="shared" si="79"/>
        <v>3.1730945399999992</v>
      </c>
      <c r="K1604" s="8">
        <f t="shared" si="78"/>
        <v>5.729341278940832</v>
      </c>
      <c r="L1604" s="8">
        <f t="shared" si="80"/>
        <v>2.864670639470416</v>
      </c>
    </row>
    <row r="1605" spans="1:12" x14ac:dyDescent="0.25">
      <c r="A1605" s="1">
        <v>1606</v>
      </c>
      <c r="B1605" s="1">
        <v>699</v>
      </c>
      <c r="C1605" s="3" t="s">
        <v>63</v>
      </c>
      <c r="D1605" s="5" t="s">
        <v>22</v>
      </c>
      <c r="E1605" s="10">
        <v>1.95</v>
      </c>
      <c r="F1605" s="10">
        <v>8.24</v>
      </c>
      <c r="G1605" s="10">
        <v>3.22</v>
      </c>
      <c r="H1605" s="10">
        <v>1.72</v>
      </c>
      <c r="I1605" s="8">
        <f t="shared" si="79"/>
        <v>2.3235273599999999</v>
      </c>
      <c r="K1605" s="8">
        <f t="shared" si="78"/>
        <v>3.1392177176505425</v>
      </c>
      <c r="L1605" s="8">
        <f t="shared" si="80"/>
        <v>1.5696088588252712</v>
      </c>
    </row>
    <row r="1606" spans="1:12" x14ac:dyDescent="0.25">
      <c r="A1606" s="1">
        <v>1607</v>
      </c>
      <c r="B1606" s="1">
        <v>700</v>
      </c>
      <c r="C1606" s="3" t="s">
        <v>63</v>
      </c>
      <c r="D1606" s="5" t="s">
        <v>22</v>
      </c>
      <c r="E1606" s="10">
        <v>2.0299999999999998</v>
      </c>
      <c r="F1606" s="10">
        <v>7.66</v>
      </c>
      <c r="G1606" s="10">
        <v>3.65</v>
      </c>
      <c r="H1606" s="10">
        <v>2</v>
      </c>
      <c r="I1606" s="8">
        <f t="shared" si="79"/>
        <v>3.1415999999999999</v>
      </c>
      <c r="K1606" s="8">
        <f t="shared" si="78"/>
        <v>4.0658576683198433</v>
      </c>
      <c r="L1606" s="8">
        <f t="shared" si="80"/>
        <v>2.0329288341599216</v>
      </c>
    </row>
    <row r="1607" spans="1:12" x14ac:dyDescent="0.25">
      <c r="A1607" s="1">
        <v>1608</v>
      </c>
      <c r="B1607" s="1">
        <v>701</v>
      </c>
      <c r="C1607" s="3" t="s">
        <v>63</v>
      </c>
      <c r="D1607" s="5" t="s">
        <v>22</v>
      </c>
      <c r="E1607" s="10">
        <v>2.14</v>
      </c>
      <c r="F1607" s="10">
        <v>11.04</v>
      </c>
      <c r="G1607" s="10">
        <v>5.03</v>
      </c>
      <c r="H1607" s="10">
        <v>1.94</v>
      </c>
      <c r="I1607" s="8">
        <f t="shared" si="79"/>
        <v>2.9559314399999996</v>
      </c>
      <c r="K1607" s="8">
        <f t="shared" si="78"/>
        <v>7.8803658948211783</v>
      </c>
      <c r="L1607" s="8">
        <f t="shared" si="80"/>
        <v>3.9401829474105892</v>
      </c>
    </row>
    <row r="1608" spans="1:12" x14ac:dyDescent="0.25">
      <c r="A1608" s="1">
        <v>1609</v>
      </c>
      <c r="B1608" s="1">
        <v>702</v>
      </c>
      <c r="C1608" s="3" t="s">
        <v>63</v>
      </c>
      <c r="D1608" s="5" t="s">
        <v>22</v>
      </c>
      <c r="E1608" s="10">
        <v>1.31</v>
      </c>
      <c r="F1608" s="10">
        <v>8.6300000000000008</v>
      </c>
      <c r="G1608" s="10">
        <v>7.82</v>
      </c>
      <c r="H1608" s="10">
        <v>1.84</v>
      </c>
      <c r="I1608" s="8">
        <f t="shared" si="79"/>
        <v>2.65905024</v>
      </c>
      <c r="K1608" s="8">
        <f t="shared" si="78"/>
        <v>19.58813013172561</v>
      </c>
      <c r="L1608" s="8">
        <f t="shared" si="80"/>
        <v>9.7940650658628048</v>
      </c>
    </row>
    <row r="1609" spans="1:12" x14ac:dyDescent="0.25">
      <c r="A1609" s="1">
        <v>1610</v>
      </c>
      <c r="B1609" s="1">
        <v>703</v>
      </c>
      <c r="C1609" s="3" t="s">
        <v>63</v>
      </c>
      <c r="D1609" s="5" t="s">
        <v>22</v>
      </c>
      <c r="E1609" s="10">
        <v>2.0299999999999998</v>
      </c>
      <c r="F1609" s="10">
        <v>8.35</v>
      </c>
      <c r="G1609" s="10">
        <v>6.43</v>
      </c>
      <c r="H1609" s="10">
        <v>1.69</v>
      </c>
      <c r="I1609" s="8">
        <f t="shared" si="79"/>
        <v>2.2431809399999998</v>
      </c>
      <c r="K1609" s="8">
        <f t="shared" si="78"/>
        <v>13.079892908974303</v>
      </c>
      <c r="L1609" s="8">
        <f t="shared" si="80"/>
        <v>6.5399464544871515</v>
      </c>
    </row>
    <row r="1610" spans="1:12" x14ac:dyDescent="0.25">
      <c r="A1610" s="1">
        <v>1611</v>
      </c>
      <c r="B1610" s="1">
        <v>704</v>
      </c>
      <c r="C1610" s="3" t="s">
        <v>63</v>
      </c>
      <c r="D1610" s="5" t="s">
        <v>22</v>
      </c>
      <c r="E1610" s="10">
        <v>1.44</v>
      </c>
      <c r="F1610" s="10">
        <v>5.18</v>
      </c>
      <c r="G1610" s="10">
        <v>6.08</v>
      </c>
      <c r="H1610" s="10">
        <v>1.9</v>
      </c>
      <c r="I1610" s="8">
        <f t="shared" si="79"/>
        <v>2.8352939999999998</v>
      </c>
      <c r="K1610" s="8">
        <f t="shared" si="78"/>
        <v>11.653218280097111</v>
      </c>
      <c r="L1610" s="8">
        <f t="shared" si="80"/>
        <v>5.8266091400485553</v>
      </c>
    </row>
    <row r="1611" spans="1:12" x14ac:dyDescent="0.25">
      <c r="A1611" s="1">
        <v>1612</v>
      </c>
      <c r="B1611" s="1">
        <v>705</v>
      </c>
      <c r="C1611" s="3" t="s">
        <v>63</v>
      </c>
      <c r="D1611" s="5" t="s">
        <v>22</v>
      </c>
      <c r="E1611" s="10">
        <v>1.54</v>
      </c>
      <c r="F1611" s="10">
        <v>7.39</v>
      </c>
      <c r="G1611" s="10">
        <v>4.76</v>
      </c>
      <c r="H1611" s="10">
        <v>1.81</v>
      </c>
      <c r="I1611" s="8">
        <f t="shared" si="79"/>
        <v>2.5730489400000001</v>
      </c>
      <c r="K1611" s="8">
        <f t="shared" si="78"/>
        <v>7.0323874877116053</v>
      </c>
      <c r="L1611" s="8">
        <f t="shared" si="80"/>
        <v>3.5161937438558026</v>
      </c>
    </row>
    <row r="1612" spans="1:12" x14ac:dyDescent="0.25">
      <c r="A1612" s="1">
        <v>1613</v>
      </c>
      <c r="B1612" s="1">
        <v>706</v>
      </c>
      <c r="C1612" s="3" t="s">
        <v>63</v>
      </c>
      <c r="D1612" s="5" t="s">
        <v>22</v>
      </c>
      <c r="E1612" s="10">
        <v>2.1800000000000002</v>
      </c>
      <c r="F1612" s="10">
        <v>7.66</v>
      </c>
      <c r="G1612" s="10">
        <v>8.59</v>
      </c>
      <c r="H1612" s="10">
        <v>1.99</v>
      </c>
      <c r="I1612" s="8">
        <f t="shared" si="79"/>
        <v>3.1102625399999999</v>
      </c>
      <c r="K1612" s="8">
        <f t="shared" ref="K1612:K1675" si="81">0.2811*G1612^2.0635</f>
        <v>23.776927808100858</v>
      </c>
      <c r="L1612" s="8">
        <f t="shared" si="80"/>
        <v>11.888463904050429</v>
      </c>
    </row>
    <row r="1613" spans="1:12" x14ac:dyDescent="0.25">
      <c r="A1613" s="1">
        <v>1614</v>
      </c>
      <c r="B1613" s="1">
        <v>707</v>
      </c>
      <c r="C1613" s="3" t="s">
        <v>63</v>
      </c>
      <c r="D1613" s="5" t="s">
        <v>22</v>
      </c>
      <c r="E1613" s="10">
        <v>2.38</v>
      </c>
      <c r="F1613" s="10">
        <v>7.79</v>
      </c>
      <c r="G1613" s="10">
        <v>5.38</v>
      </c>
      <c r="H1613" s="10">
        <v>1.87</v>
      </c>
      <c r="I1613" s="8">
        <f t="shared" si="79"/>
        <v>2.7464652600000004</v>
      </c>
      <c r="K1613" s="8">
        <f t="shared" si="81"/>
        <v>9.0537827973626293</v>
      </c>
      <c r="L1613" s="8">
        <f t="shared" si="80"/>
        <v>4.5268913986813146</v>
      </c>
    </row>
    <row r="1614" spans="1:12" x14ac:dyDescent="0.25">
      <c r="A1614" s="1">
        <v>1615</v>
      </c>
      <c r="B1614" s="1">
        <v>708</v>
      </c>
      <c r="C1614" s="3" t="s">
        <v>63</v>
      </c>
      <c r="D1614" s="5" t="s">
        <v>22</v>
      </c>
      <c r="E1614" s="10">
        <v>1.6</v>
      </c>
      <c r="F1614" s="10">
        <v>9.06</v>
      </c>
      <c r="G1614" s="10">
        <v>3.52</v>
      </c>
      <c r="H1614" s="10">
        <v>1.97</v>
      </c>
      <c r="I1614" s="8">
        <f t="shared" si="79"/>
        <v>3.0480588599999998</v>
      </c>
      <c r="K1614" s="8">
        <f t="shared" si="81"/>
        <v>3.7726944371357107</v>
      </c>
      <c r="L1614" s="8">
        <f t="shared" si="80"/>
        <v>1.8863472185678554</v>
      </c>
    </row>
    <row r="1615" spans="1:12" x14ac:dyDescent="0.25">
      <c r="A1615" s="1">
        <v>1616</v>
      </c>
      <c r="B1615" s="1">
        <v>709</v>
      </c>
      <c r="C1615" s="3" t="s">
        <v>63</v>
      </c>
      <c r="D1615" s="5" t="s">
        <v>22</v>
      </c>
      <c r="E1615" s="10">
        <v>2.38</v>
      </c>
      <c r="F1615" s="10">
        <v>8.74</v>
      </c>
      <c r="G1615" s="10">
        <v>6.7</v>
      </c>
      <c r="H1615" s="10">
        <v>1.91</v>
      </c>
      <c r="I1615" s="8">
        <f t="shared" si="79"/>
        <v>2.8652177399999998</v>
      </c>
      <c r="K1615" s="8">
        <f t="shared" si="81"/>
        <v>14.23856430539101</v>
      </c>
      <c r="L1615" s="8">
        <f t="shared" si="80"/>
        <v>7.1192821526955052</v>
      </c>
    </row>
    <row r="1616" spans="1:12" x14ac:dyDescent="0.25">
      <c r="A1616" s="1">
        <v>1617</v>
      </c>
      <c r="B1616" s="1">
        <v>710</v>
      </c>
      <c r="C1616" s="3" t="s">
        <v>63</v>
      </c>
      <c r="D1616" s="5" t="s">
        <v>22</v>
      </c>
      <c r="E1616" s="10">
        <v>1.44</v>
      </c>
      <c r="F1616" s="10">
        <v>9.26</v>
      </c>
      <c r="G1616" s="10">
        <v>3.68</v>
      </c>
      <c r="H1616" s="10">
        <v>1.7</v>
      </c>
      <c r="I1616" s="8">
        <f t="shared" si="79"/>
        <v>2.2698059999999995</v>
      </c>
      <c r="K1616" s="8">
        <f t="shared" si="81"/>
        <v>4.135117165147614</v>
      </c>
      <c r="L1616" s="8">
        <f t="shared" si="80"/>
        <v>2.067558582573807</v>
      </c>
    </row>
    <row r="1617" spans="1:12" x14ac:dyDescent="0.25">
      <c r="A1617" s="1">
        <v>1618</v>
      </c>
      <c r="B1617" s="1">
        <v>711</v>
      </c>
      <c r="C1617" s="3" t="s">
        <v>63</v>
      </c>
      <c r="D1617" s="5" t="s">
        <v>22</v>
      </c>
      <c r="E1617" s="10">
        <v>2.17</v>
      </c>
      <c r="F1617" s="10">
        <v>10.35</v>
      </c>
      <c r="G1617" s="10">
        <v>5.07</v>
      </c>
      <c r="H1617" s="10">
        <v>2.04</v>
      </c>
      <c r="I1617" s="8">
        <f t="shared" si="79"/>
        <v>3.2685206399999998</v>
      </c>
      <c r="K1617" s="8">
        <f t="shared" si="81"/>
        <v>8.0102260051305816</v>
      </c>
      <c r="L1617" s="8">
        <f t="shared" si="80"/>
        <v>4.0051130025652908</v>
      </c>
    </row>
    <row r="1618" spans="1:12" x14ac:dyDescent="0.25">
      <c r="A1618" s="1">
        <v>1619</v>
      </c>
      <c r="B1618" s="1">
        <v>712</v>
      </c>
      <c r="C1618" s="3" t="s">
        <v>63</v>
      </c>
      <c r="D1618" s="5" t="s">
        <v>22</v>
      </c>
      <c r="E1618" s="10">
        <v>1.36</v>
      </c>
      <c r="F1618" s="10">
        <v>10.69</v>
      </c>
      <c r="G1618" s="10">
        <v>6.04</v>
      </c>
      <c r="H1618" s="10">
        <v>1.89</v>
      </c>
      <c r="I1618" s="8">
        <f t="shared" si="79"/>
        <v>2.8055273399999998</v>
      </c>
      <c r="K1618" s="8">
        <f t="shared" si="81"/>
        <v>11.49557153833489</v>
      </c>
      <c r="L1618" s="8">
        <f t="shared" si="80"/>
        <v>5.7477857691674448</v>
      </c>
    </row>
    <row r="1619" spans="1:12" x14ac:dyDescent="0.25">
      <c r="A1619" s="1">
        <v>1620</v>
      </c>
      <c r="B1619" s="1">
        <v>713</v>
      </c>
      <c r="C1619" s="3" t="s">
        <v>63</v>
      </c>
      <c r="D1619" s="5" t="s">
        <v>22</v>
      </c>
      <c r="E1619" s="10">
        <v>1.81</v>
      </c>
      <c r="F1619" s="10">
        <v>10.029999999999999</v>
      </c>
      <c r="G1619" s="10">
        <v>8.25</v>
      </c>
      <c r="H1619" s="10">
        <v>2.08</v>
      </c>
      <c r="I1619" s="8">
        <f t="shared" si="79"/>
        <v>3.3979545600000005</v>
      </c>
      <c r="K1619" s="8">
        <f t="shared" si="81"/>
        <v>21.875781073984925</v>
      </c>
      <c r="L1619" s="8">
        <f t="shared" si="80"/>
        <v>10.937890536992462</v>
      </c>
    </row>
    <row r="1620" spans="1:12" x14ac:dyDescent="0.25">
      <c r="A1620" s="1">
        <v>1621</v>
      </c>
      <c r="B1620" s="1">
        <v>714</v>
      </c>
      <c r="C1620" s="3" t="s">
        <v>63</v>
      </c>
      <c r="D1620" s="5" t="s">
        <v>22</v>
      </c>
      <c r="E1620" s="10">
        <v>1.38</v>
      </c>
      <c r="F1620" s="10">
        <v>11.69</v>
      </c>
      <c r="G1620" s="10">
        <v>5.96</v>
      </c>
      <c r="H1620" s="10">
        <v>1.79</v>
      </c>
      <c r="I1620" s="8">
        <f t="shared" si="79"/>
        <v>2.5165001399999998</v>
      </c>
      <c r="K1620" s="8">
        <f t="shared" si="81"/>
        <v>11.183596836836914</v>
      </c>
      <c r="L1620" s="8">
        <f t="shared" si="80"/>
        <v>5.591798418418457</v>
      </c>
    </row>
    <row r="1621" spans="1:12" x14ac:dyDescent="0.25">
      <c r="A1621" s="1">
        <v>1622</v>
      </c>
      <c r="B1621" s="1">
        <v>715</v>
      </c>
      <c r="C1621" s="3" t="s">
        <v>63</v>
      </c>
      <c r="D1621" s="5" t="s">
        <v>22</v>
      </c>
      <c r="E1621" s="10">
        <v>2.3199999999999998</v>
      </c>
      <c r="F1621" s="10">
        <v>5.13</v>
      </c>
      <c r="G1621" s="10">
        <v>7.21</v>
      </c>
      <c r="H1621" s="10">
        <v>1.95</v>
      </c>
      <c r="I1621" s="8">
        <f t="shared" si="79"/>
        <v>2.9864834999999998</v>
      </c>
      <c r="K1621" s="8">
        <f t="shared" si="81"/>
        <v>16.565718011895054</v>
      </c>
      <c r="L1621" s="8">
        <f t="shared" si="80"/>
        <v>8.2828590059475271</v>
      </c>
    </row>
    <row r="1622" spans="1:12" x14ac:dyDescent="0.25">
      <c r="A1622" s="1">
        <v>1623</v>
      </c>
      <c r="B1622" s="1">
        <v>716</v>
      </c>
      <c r="C1622" s="3" t="s">
        <v>63</v>
      </c>
      <c r="D1622" s="5" t="s">
        <v>22</v>
      </c>
      <c r="E1622" s="10">
        <v>2.1</v>
      </c>
      <c r="F1622" s="10">
        <v>6.37</v>
      </c>
      <c r="G1622" s="10">
        <v>8.9600000000000009</v>
      </c>
      <c r="H1622" s="10">
        <v>1.81</v>
      </c>
      <c r="I1622" s="8">
        <f t="shared" si="79"/>
        <v>2.5730489400000001</v>
      </c>
      <c r="K1622" s="8">
        <f t="shared" si="81"/>
        <v>25.938712978087548</v>
      </c>
      <c r="L1622" s="8">
        <f t="shared" si="80"/>
        <v>12.969356489043774</v>
      </c>
    </row>
    <row r="1623" spans="1:12" x14ac:dyDescent="0.25">
      <c r="A1623" s="1">
        <v>1624</v>
      </c>
      <c r="B1623" s="1">
        <v>717</v>
      </c>
      <c r="C1623" s="3" t="s">
        <v>63</v>
      </c>
      <c r="D1623" s="5" t="s">
        <v>22</v>
      </c>
      <c r="E1623" s="10">
        <v>1.91</v>
      </c>
      <c r="F1623" s="10">
        <v>5.05</v>
      </c>
      <c r="G1623" s="10">
        <v>3.79</v>
      </c>
      <c r="H1623" s="10">
        <v>2.0299999999999998</v>
      </c>
      <c r="I1623" s="8">
        <f t="shared" si="79"/>
        <v>3.2365548599999991</v>
      </c>
      <c r="K1623" s="8">
        <f t="shared" si="81"/>
        <v>4.3942307146486117</v>
      </c>
      <c r="L1623" s="8">
        <f t="shared" si="80"/>
        <v>2.1971153573243059</v>
      </c>
    </row>
    <row r="1624" spans="1:12" x14ac:dyDescent="0.25">
      <c r="A1624" s="1">
        <v>1625</v>
      </c>
      <c r="B1624" s="1">
        <v>718</v>
      </c>
      <c r="C1624" s="3" t="s">
        <v>63</v>
      </c>
      <c r="D1624" s="5" t="s">
        <v>22</v>
      </c>
      <c r="E1624" s="10">
        <v>2.37</v>
      </c>
      <c r="F1624" s="10">
        <v>9.5299999999999994</v>
      </c>
      <c r="G1624" s="10">
        <v>4.6500000000000004</v>
      </c>
      <c r="H1624" s="10">
        <v>2.02</v>
      </c>
      <c r="I1624" s="8">
        <f t="shared" si="79"/>
        <v>3.20474616</v>
      </c>
      <c r="K1624" s="8">
        <f t="shared" si="81"/>
        <v>6.7011604076595308</v>
      </c>
      <c r="L1624" s="8">
        <f t="shared" si="80"/>
        <v>3.3505802038297654</v>
      </c>
    </row>
    <row r="1625" spans="1:12" x14ac:dyDescent="0.25">
      <c r="A1625" s="1">
        <v>1626</v>
      </c>
      <c r="B1625" s="1">
        <v>719</v>
      </c>
      <c r="C1625" s="3" t="s">
        <v>63</v>
      </c>
      <c r="D1625" s="5" t="s">
        <v>22</v>
      </c>
      <c r="E1625" s="10">
        <v>1.48</v>
      </c>
      <c r="F1625" s="10">
        <v>11.29</v>
      </c>
      <c r="G1625" s="10">
        <v>5.37</v>
      </c>
      <c r="H1625" s="10">
        <v>1.74</v>
      </c>
      <c r="I1625" s="8">
        <f t="shared" si="79"/>
        <v>2.37787704</v>
      </c>
      <c r="K1625" s="8">
        <f t="shared" si="81"/>
        <v>9.0190913176514442</v>
      </c>
      <c r="L1625" s="8">
        <f t="shared" si="80"/>
        <v>4.5095456588257221</v>
      </c>
    </row>
    <row r="1626" spans="1:12" x14ac:dyDescent="0.25">
      <c r="A1626" s="1">
        <v>1627</v>
      </c>
      <c r="B1626" s="1">
        <v>720</v>
      </c>
      <c r="C1626" s="3" t="s">
        <v>63</v>
      </c>
      <c r="D1626" s="5" t="s">
        <v>22</v>
      </c>
      <c r="E1626" s="10">
        <v>2.0499999999999998</v>
      </c>
      <c r="F1626" s="10">
        <v>6.7</v>
      </c>
      <c r="G1626" s="10">
        <v>5.53</v>
      </c>
      <c r="H1626" s="10">
        <v>2</v>
      </c>
      <c r="I1626" s="8">
        <f t="shared" si="79"/>
        <v>3.1415999999999999</v>
      </c>
      <c r="K1626" s="8">
        <f t="shared" si="81"/>
        <v>9.5823968738114988</v>
      </c>
      <c r="L1626" s="8">
        <f t="shared" si="80"/>
        <v>4.7911984369057494</v>
      </c>
    </row>
    <row r="1627" spans="1:12" x14ac:dyDescent="0.25">
      <c r="A1627" s="1">
        <v>1628</v>
      </c>
      <c r="B1627" s="1">
        <v>721</v>
      </c>
      <c r="C1627" s="3" t="s">
        <v>63</v>
      </c>
      <c r="D1627" s="5" t="s">
        <v>22</v>
      </c>
      <c r="E1627" s="10">
        <v>1.59</v>
      </c>
      <c r="F1627" s="10">
        <v>11.49</v>
      </c>
      <c r="G1627" s="10">
        <v>5.47</v>
      </c>
      <c r="H1627" s="10">
        <v>2.1</v>
      </c>
      <c r="I1627" s="8">
        <f t="shared" si="79"/>
        <v>3.4636140000000002</v>
      </c>
      <c r="K1627" s="8">
        <f t="shared" si="81"/>
        <v>9.3690960980694005</v>
      </c>
      <c r="L1627" s="8">
        <f t="shared" si="80"/>
        <v>4.6845480490347002</v>
      </c>
    </row>
    <row r="1628" spans="1:12" x14ac:dyDescent="0.25">
      <c r="A1628" s="1">
        <v>1629</v>
      </c>
      <c r="B1628" s="1">
        <v>722</v>
      </c>
      <c r="C1628" s="3" t="s">
        <v>63</v>
      </c>
      <c r="D1628" s="5" t="s">
        <v>22</v>
      </c>
      <c r="E1628" s="10">
        <v>2.11</v>
      </c>
      <c r="F1628" s="10">
        <v>5.42</v>
      </c>
      <c r="G1628" s="10">
        <v>8.4499999999999993</v>
      </c>
      <c r="H1628" s="10">
        <v>1.84</v>
      </c>
      <c r="I1628" s="8">
        <f t="shared" si="79"/>
        <v>2.65905024</v>
      </c>
      <c r="K1628" s="8">
        <f t="shared" si="81"/>
        <v>22.984214419160473</v>
      </c>
      <c r="L1628" s="8">
        <f t="shared" si="80"/>
        <v>11.492107209580237</v>
      </c>
    </row>
    <row r="1629" spans="1:12" x14ac:dyDescent="0.25">
      <c r="A1629" s="1">
        <v>1630</v>
      </c>
      <c r="B1629" s="1">
        <v>723</v>
      </c>
      <c r="C1629" s="3" t="s">
        <v>63</v>
      </c>
      <c r="D1629" s="5" t="s">
        <v>22</v>
      </c>
      <c r="E1629" s="10">
        <v>2.04</v>
      </c>
      <c r="F1629" s="10">
        <v>11.54</v>
      </c>
      <c r="G1629" s="10">
        <v>7.28</v>
      </c>
      <c r="H1629" s="10">
        <v>1.97</v>
      </c>
      <c r="I1629" s="8">
        <f t="shared" si="79"/>
        <v>3.0480588599999998</v>
      </c>
      <c r="K1629" s="8">
        <f t="shared" si="81"/>
        <v>16.899308992879313</v>
      </c>
      <c r="L1629" s="8">
        <f t="shared" si="80"/>
        <v>8.4496544964396563</v>
      </c>
    </row>
    <row r="1630" spans="1:12" x14ac:dyDescent="0.25">
      <c r="A1630" s="1">
        <v>1631</v>
      </c>
      <c r="B1630" s="1">
        <v>724</v>
      </c>
      <c r="C1630" s="3" t="s">
        <v>63</v>
      </c>
      <c r="D1630" s="5" t="s">
        <v>22</v>
      </c>
      <c r="E1630" s="10">
        <v>1.19</v>
      </c>
      <c r="F1630" s="10">
        <v>7.46</v>
      </c>
      <c r="G1630" s="10">
        <v>6.65</v>
      </c>
      <c r="H1630" s="10">
        <v>1.89</v>
      </c>
      <c r="I1630" s="8">
        <f t="shared" si="79"/>
        <v>2.8055273399999998</v>
      </c>
      <c r="K1630" s="8">
        <f t="shared" si="81"/>
        <v>14.020171002013136</v>
      </c>
      <c r="L1630" s="8">
        <f t="shared" si="80"/>
        <v>7.0100855010065679</v>
      </c>
    </row>
    <row r="1631" spans="1:12" x14ac:dyDescent="0.25">
      <c r="A1631" s="1">
        <v>1632</v>
      </c>
      <c r="B1631" s="1">
        <v>725</v>
      </c>
      <c r="C1631" s="3" t="s">
        <v>63</v>
      </c>
      <c r="D1631" s="5" t="s">
        <v>22</v>
      </c>
      <c r="E1631" s="10">
        <v>1.72</v>
      </c>
      <c r="F1631" s="10">
        <v>5.71</v>
      </c>
      <c r="G1631" s="10">
        <v>4.8600000000000003</v>
      </c>
      <c r="H1631" s="10">
        <v>1.84</v>
      </c>
      <c r="I1631" s="8">
        <f t="shared" si="79"/>
        <v>2.65905024</v>
      </c>
      <c r="K1631" s="8">
        <f t="shared" si="81"/>
        <v>7.3406545585354896</v>
      </c>
      <c r="L1631" s="8">
        <f t="shared" si="80"/>
        <v>3.6703272792677448</v>
      </c>
    </row>
    <row r="1632" spans="1:12" x14ac:dyDescent="0.25">
      <c r="A1632" s="1">
        <v>1633</v>
      </c>
      <c r="B1632" s="1">
        <v>726</v>
      </c>
      <c r="C1632" s="3" t="s">
        <v>63</v>
      </c>
      <c r="D1632" s="5" t="s">
        <v>22</v>
      </c>
      <c r="E1632" s="10">
        <v>1.1200000000000001</v>
      </c>
      <c r="F1632" s="10">
        <v>8.4</v>
      </c>
      <c r="G1632" s="10">
        <v>7.94</v>
      </c>
      <c r="H1632" s="10">
        <v>1.91</v>
      </c>
      <c r="I1632" s="8">
        <f t="shared" si="79"/>
        <v>2.8652177399999998</v>
      </c>
      <c r="K1632" s="8">
        <f t="shared" si="81"/>
        <v>20.213450364048835</v>
      </c>
      <c r="L1632" s="8">
        <f t="shared" si="80"/>
        <v>10.106725182024418</v>
      </c>
    </row>
    <row r="1633" spans="1:12" x14ac:dyDescent="0.25">
      <c r="A1633" s="1">
        <v>1634</v>
      </c>
      <c r="B1633" s="1">
        <v>727</v>
      </c>
      <c r="C1633" s="3" t="s">
        <v>63</v>
      </c>
      <c r="D1633" s="5" t="s">
        <v>22</v>
      </c>
      <c r="E1633" s="10">
        <v>1.49</v>
      </c>
      <c r="F1633" s="10">
        <v>6.8</v>
      </c>
      <c r="G1633" s="10">
        <v>8.73</v>
      </c>
      <c r="H1633" s="10">
        <v>1.89</v>
      </c>
      <c r="I1633" s="8">
        <f t="shared" si="79"/>
        <v>2.8055273399999998</v>
      </c>
      <c r="K1633" s="8">
        <f t="shared" si="81"/>
        <v>24.583501313474006</v>
      </c>
      <c r="L1633" s="8">
        <f t="shared" si="80"/>
        <v>12.291750656737003</v>
      </c>
    </row>
    <row r="1634" spans="1:12" x14ac:dyDescent="0.25">
      <c r="A1634" s="1">
        <v>1635</v>
      </c>
      <c r="B1634" s="1">
        <v>728</v>
      </c>
      <c r="C1634" s="3" t="s">
        <v>63</v>
      </c>
      <c r="D1634" s="5" t="s">
        <v>22</v>
      </c>
      <c r="E1634" s="10">
        <v>2.1800000000000002</v>
      </c>
      <c r="F1634" s="10">
        <v>6.99</v>
      </c>
      <c r="G1634" s="10">
        <v>7.93</v>
      </c>
      <c r="H1634" s="10">
        <v>1.83</v>
      </c>
      <c r="I1634" s="8">
        <f t="shared" si="79"/>
        <v>2.6302260600000005</v>
      </c>
      <c r="K1634" s="8">
        <f t="shared" si="81"/>
        <v>20.160953485398025</v>
      </c>
      <c r="L1634" s="8">
        <f t="shared" si="80"/>
        <v>10.080476742699013</v>
      </c>
    </row>
    <row r="1635" spans="1:12" x14ac:dyDescent="0.25">
      <c r="A1635" s="1">
        <v>1636</v>
      </c>
      <c r="B1635" s="1">
        <v>729</v>
      </c>
      <c r="C1635" s="3" t="s">
        <v>63</v>
      </c>
      <c r="D1635" s="5" t="s">
        <v>22</v>
      </c>
      <c r="E1635" s="10">
        <v>2.2999999999999998</v>
      </c>
      <c r="F1635" s="10">
        <v>7.15</v>
      </c>
      <c r="G1635" s="10">
        <f>F1635-4</f>
        <v>3.1500000000000004</v>
      </c>
      <c r="H1635" s="10">
        <v>1.86</v>
      </c>
      <c r="I1635" s="8">
        <f t="shared" si="79"/>
        <v>2.7171698400000004</v>
      </c>
      <c r="K1635" s="8">
        <f t="shared" si="81"/>
        <v>3.0000236151704662</v>
      </c>
      <c r="L1635" s="8">
        <f t="shared" si="80"/>
        <v>1.5000118075852331</v>
      </c>
    </row>
    <row r="1636" spans="1:12" x14ac:dyDescent="0.25">
      <c r="A1636" s="1">
        <v>1637</v>
      </c>
      <c r="B1636" s="1">
        <v>730</v>
      </c>
      <c r="C1636" s="3" t="s">
        <v>63</v>
      </c>
      <c r="D1636" s="5" t="s">
        <v>22</v>
      </c>
      <c r="E1636" s="10">
        <v>1.95</v>
      </c>
      <c r="F1636" s="10">
        <v>10.62</v>
      </c>
      <c r="G1636" s="10">
        <v>6.82</v>
      </c>
      <c r="H1636" s="10">
        <v>1.86</v>
      </c>
      <c r="I1636" s="8">
        <f t="shared" si="79"/>
        <v>2.7171698400000004</v>
      </c>
      <c r="K1636" s="8">
        <f t="shared" si="81"/>
        <v>14.769809801444969</v>
      </c>
      <c r="L1636" s="8">
        <f t="shared" si="80"/>
        <v>7.3849049007224847</v>
      </c>
    </row>
    <row r="1637" spans="1:12" x14ac:dyDescent="0.25">
      <c r="A1637" s="1">
        <v>1638</v>
      </c>
      <c r="B1637" s="1">
        <v>731</v>
      </c>
      <c r="C1637" s="3" t="s">
        <v>63</v>
      </c>
      <c r="D1637" s="5" t="s">
        <v>22</v>
      </c>
      <c r="E1637" s="10">
        <v>1.39</v>
      </c>
      <c r="F1637" s="10">
        <v>8.77</v>
      </c>
      <c r="G1637" s="10">
        <v>3.31</v>
      </c>
      <c r="H1637" s="10">
        <v>1.78</v>
      </c>
      <c r="I1637" s="8">
        <f t="shared" si="79"/>
        <v>2.4884613600000001</v>
      </c>
      <c r="K1637" s="8">
        <f t="shared" si="81"/>
        <v>3.3229661001299586</v>
      </c>
      <c r="L1637" s="8">
        <f t="shared" si="80"/>
        <v>1.6614830500649793</v>
      </c>
    </row>
    <row r="1638" spans="1:12" x14ac:dyDescent="0.25">
      <c r="A1638" s="1">
        <v>1639</v>
      </c>
      <c r="B1638" s="1">
        <v>732</v>
      </c>
      <c r="C1638" s="3" t="s">
        <v>63</v>
      </c>
      <c r="D1638" s="5" t="s">
        <v>22</v>
      </c>
      <c r="E1638" s="10">
        <v>2.1</v>
      </c>
      <c r="F1638" s="10">
        <v>7.18</v>
      </c>
      <c r="G1638" s="10">
        <v>4.55</v>
      </c>
      <c r="H1638" s="10">
        <v>1.79</v>
      </c>
      <c r="I1638" s="8">
        <f t="shared" si="79"/>
        <v>2.5165001399999998</v>
      </c>
      <c r="K1638" s="8">
        <f t="shared" si="81"/>
        <v>6.407186455974383</v>
      </c>
      <c r="L1638" s="8">
        <f t="shared" si="80"/>
        <v>3.2035932279871915</v>
      </c>
    </row>
    <row r="1639" spans="1:12" x14ac:dyDescent="0.25">
      <c r="A1639" s="1">
        <v>1640</v>
      </c>
      <c r="B1639" s="1">
        <v>733</v>
      </c>
      <c r="C1639" s="3" t="s">
        <v>63</v>
      </c>
      <c r="D1639" s="5" t="s">
        <v>22</v>
      </c>
      <c r="E1639" s="10">
        <v>1.53</v>
      </c>
      <c r="F1639" s="10">
        <v>9.27</v>
      </c>
      <c r="G1639" s="10">
        <v>3.36</v>
      </c>
      <c r="H1639" s="10">
        <v>2.0299999999999998</v>
      </c>
      <c r="I1639" s="8">
        <f t="shared" si="79"/>
        <v>3.2365548599999991</v>
      </c>
      <c r="K1639" s="8">
        <f t="shared" si="81"/>
        <v>3.4273775248412366</v>
      </c>
      <c r="L1639" s="8">
        <f t="shared" si="80"/>
        <v>1.7136887624206183</v>
      </c>
    </row>
    <row r="1640" spans="1:12" x14ac:dyDescent="0.25">
      <c r="A1640" s="1">
        <v>1641</v>
      </c>
      <c r="B1640" s="1">
        <v>734</v>
      </c>
      <c r="C1640" s="3" t="s">
        <v>63</v>
      </c>
      <c r="D1640" s="5" t="s">
        <v>22</v>
      </c>
      <c r="E1640" s="10">
        <v>1.36</v>
      </c>
      <c r="F1640" s="10">
        <v>10.01</v>
      </c>
      <c r="G1640" s="10">
        <v>6.62</v>
      </c>
      <c r="H1640" s="10">
        <v>1.74</v>
      </c>
      <c r="I1640" s="8">
        <f t="shared" si="79"/>
        <v>2.37787704</v>
      </c>
      <c r="K1640" s="8">
        <f t="shared" si="81"/>
        <v>13.88996997059817</v>
      </c>
      <c r="L1640" s="8">
        <f t="shared" si="80"/>
        <v>6.9449849852990848</v>
      </c>
    </row>
    <row r="1641" spans="1:12" x14ac:dyDescent="0.25">
      <c r="A1641" s="1">
        <v>1642</v>
      </c>
      <c r="B1641" s="1">
        <v>735</v>
      </c>
      <c r="C1641" s="3" t="s">
        <v>63</v>
      </c>
      <c r="D1641" s="5" t="s">
        <v>22</v>
      </c>
      <c r="E1641" s="10">
        <v>1.8</v>
      </c>
      <c r="F1641" s="10">
        <v>6.91</v>
      </c>
      <c r="G1641" s="10">
        <v>7.12</v>
      </c>
      <c r="H1641" s="10">
        <v>1.9</v>
      </c>
      <c r="I1641" s="8">
        <f t="shared" si="79"/>
        <v>2.8352939999999998</v>
      </c>
      <c r="K1641" s="8">
        <f t="shared" si="81"/>
        <v>16.141850193901341</v>
      </c>
      <c r="L1641" s="8">
        <f t="shared" si="80"/>
        <v>8.0709250969506705</v>
      </c>
    </row>
    <row r="1642" spans="1:12" x14ac:dyDescent="0.25">
      <c r="A1642" s="1">
        <v>1643</v>
      </c>
      <c r="B1642" s="1">
        <v>736</v>
      </c>
      <c r="C1642" s="3" t="s">
        <v>63</v>
      </c>
      <c r="D1642" s="5" t="s">
        <v>22</v>
      </c>
      <c r="E1642" s="10">
        <v>1.76</v>
      </c>
      <c r="F1642" s="10">
        <v>7.89</v>
      </c>
      <c r="G1642" s="10">
        <v>3.69</v>
      </c>
      <c r="H1642" s="10">
        <v>1.92</v>
      </c>
      <c r="I1642" s="8">
        <f t="shared" si="79"/>
        <v>2.8952985600000001</v>
      </c>
      <c r="K1642" s="8">
        <f t="shared" si="81"/>
        <v>4.1583376669513124</v>
      </c>
      <c r="L1642" s="8">
        <f t="shared" si="80"/>
        <v>2.0791688334756562</v>
      </c>
    </row>
    <row r="1643" spans="1:12" x14ac:dyDescent="0.25">
      <c r="A1643" s="1">
        <v>1644</v>
      </c>
      <c r="B1643" s="1">
        <v>737</v>
      </c>
      <c r="C1643" s="3" t="s">
        <v>63</v>
      </c>
      <c r="D1643" s="5" t="s">
        <v>22</v>
      </c>
      <c r="E1643" s="10">
        <v>2.19</v>
      </c>
      <c r="F1643" s="10">
        <v>5.85</v>
      </c>
      <c r="G1643" s="10">
        <v>5.3</v>
      </c>
      <c r="H1643" s="10">
        <v>1.89</v>
      </c>
      <c r="I1643" s="8">
        <f t="shared" si="79"/>
        <v>2.8055273399999998</v>
      </c>
      <c r="K1643" s="8">
        <f t="shared" si="81"/>
        <v>8.7781723303859813</v>
      </c>
      <c r="L1643" s="8">
        <f t="shared" si="80"/>
        <v>4.3890861651929907</v>
      </c>
    </row>
    <row r="1644" spans="1:12" x14ac:dyDescent="0.25">
      <c r="A1644" s="1">
        <v>1645</v>
      </c>
      <c r="B1644" s="1">
        <v>738</v>
      </c>
      <c r="C1644" s="3" t="s">
        <v>63</v>
      </c>
      <c r="D1644" s="5" t="s">
        <v>22</v>
      </c>
      <c r="E1644" s="10">
        <v>1.67</v>
      </c>
      <c r="F1644" s="10">
        <v>6.27</v>
      </c>
      <c r="G1644" s="10">
        <v>5.74</v>
      </c>
      <c r="H1644" s="10">
        <v>1.88</v>
      </c>
      <c r="I1644" s="8">
        <f t="shared" si="79"/>
        <v>2.7759177599999996</v>
      </c>
      <c r="K1644" s="8">
        <f t="shared" si="81"/>
        <v>10.348455478543244</v>
      </c>
      <c r="L1644" s="8">
        <f t="shared" si="80"/>
        <v>5.1742277392716218</v>
      </c>
    </row>
    <row r="1645" spans="1:12" x14ac:dyDescent="0.25">
      <c r="A1645" s="1">
        <v>1646</v>
      </c>
      <c r="B1645" s="1">
        <v>739</v>
      </c>
      <c r="C1645" s="3" t="s">
        <v>63</v>
      </c>
      <c r="D1645" s="5" t="s">
        <v>22</v>
      </c>
      <c r="E1645" s="10">
        <v>1.73</v>
      </c>
      <c r="F1645" s="10">
        <v>9.77</v>
      </c>
      <c r="G1645" s="10">
        <v>5.21</v>
      </c>
      <c r="H1645" s="10">
        <v>1.97</v>
      </c>
      <c r="I1645" s="8">
        <f t="shared" si="79"/>
        <v>3.0480588599999998</v>
      </c>
      <c r="K1645" s="8">
        <f t="shared" si="81"/>
        <v>8.4733566706946757</v>
      </c>
      <c r="L1645" s="8">
        <f t="shared" si="80"/>
        <v>4.2366783353473378</v>
      </c>
    </row>
    <row r="1646" spans="1:12" x14ac:dyDescent="0.25">
      <c r="A1646" s="1">
        <v>1647</v>
      </c>
      <c r="B1646" s="1">
        <v>740</v>
      </c>
      <c r="C1646" s="3" t="s">
        <v>63</v>
      </c>
      <c r="D1646" s="5" t="s">
        <v>22</v>
      </c>
      <c r="E1646" s="10">
        <v>1.51</v>
      </c>
      <c r="F1646" s="10">
        <v>6.27</v>
      </c>
      <c r="G1646" s="10">
        <v>3.73</v>
      </c>
      <c r="H1646" s="10">
        <v>2.0299999999999998</v>
      </c>
      <c r="I1646" s="8">
        <f t="shared" si="79"/>
        <v>3.2365548599999991</v>
      </c>
      <c r="K1646" s="8">
        <f t="shared" si="81"/>
        <v>4.251889996226927</v>
      </c>
      <c r="L1646" s="8">
        <f t="shared" si="80"/>
        <v>2.1259449981134635</v>
      </c>
    </row>
    <row r="1647" spans="1:12" x14ac:dyDescent="0.25">
      <c r="A1647" s="1">
        <v>1648</v>
      </c>
      <c r="B1647" s="1">
        <v>741</v>
      </c>
      <c r="C1647" s="3" t="s">
        <v>63</v>
      </c>
      <c r="D1647" s="5" t="s">
        <v>22</v>
      </c>
      <c r="E1647" s="10">
        <v>2.4</v>
      </c>
      <c r="F1647" s="10">
        <v>8.68</v>
      </c>
      <c r="G1647" s="10">
        <v>5.51</v>
      </c>
      <c r="H1647" s="10">
        <v>2.0499999999999998</v>
      </c>
      <c r="I1647" s="8">
        <f t="shared" si="79"/>
        <v>3.3006434999999996</v>
      </c>
      <c r="K1647" s="8">
        <f t="shared" si="81"/>
        <v>9.5110216406950308</v>
      </c>
      <c r="L1647" s="8">
        <f t="shared" si="80"/>
        <v>4.7555108203475154</v>
      </c>
    </row>
    <row r="1648" spans="1:12" x14ac:dyDescent="0.25">
      <c r="A1648" s="1">
        <v>1649</v>
      </c>
      <c r="B1648" s="1">
        <v>742</v>
      </c>
      <c r="C1648" s="3" t="s">
        <v>63</v>
      </c>
      <c r="D1648" s="5" t="s">
        <v>22</v>
      </c>
      <c r="E1648" s="10">
        <v>1.84</v>
      </c>
      <c r="F1648" s="10">
        <v>9.9600000000000009</v>
      </c>
      <c r="G1648" s="10">
        <v>7.51</v>
      </c>
      <c r="H1648" s="10">
        <v>1.9</v>
      </c>
      <c r="I1648" s="8">
        <f t="shared" si="79"/>
        <v>2.8352939999999998</v>
      </c>
      <c r="K1648" s="8">
        <f t="shared" si="81"/>
        <v>18.019546449137863</v>
      </c>
      <c r="L1648" s="8">
        <f t="shared" si="80"/>
        <v>9.0097732245689315</v>
      </c>
    </row>
    <row r="1649" spans="1:12" x14ac:dyDescent="0.25">
      <c r="A1649" s="1">
        <v>1650</v>
      </c>
      <c r="B1649" s="1">
        <v>743</v>
      </c>
      <c r="C1649" s="3" t="s">
        <v>63</v>
      </c>
      <c r="D1649" s="5" t="s">
        <v>22</v>
      </c>
      <c r="E1649" s="10">
        <v>2.09</v>
      </c>
      <c r="F1649" s="10">
        <v>5.75</v>
      </c>
      <c r="G1649" s="10">
        <v>3.43</v>
      </c>
      <c r="H1649" s="10">
        <v>1.71</v>
      </c>
      <c r="I1649" s="8">
        <f t="shared" si="79"/>
        <v>2.2965881399999999</v>
      </c>
      <c r="K1649" s="8">
        <f t="shared" si="81"/>
        <v>3.5763520407682896</v>
      </c>
      <c r="L1649" s="8">
        <f t="shared" si="80"/>
        <v>1.7881760203841448</v>
      </c>
    </row>
    <row r="1650" spans="1:12" x14ac:dyDescent="0.25">
      <c r="A1650" s="1">
        <v>1651</v>
      </c>
      <c r="B1650" s="1">
        <v>744</v>
      </c>
      <c r="C1650" s="3" t="s">
        <v>63</v>
      </c>
      <c r="D1650" s="5" t="s">
        <v>22</v>
      </c>
      <c r="E1650" s="10">
        <v>1.8</v>
      </c>
      <c r="F1650" s="10">
        <v>8.9700000000000006</v>
      </c>
      <c r="G1650" s="10">
        <v>3.48</v>
      </c>
      <c r="H1650" s="10">
        <v>1.92</v>
      </c>
      <c r="I1650" s="8">
        <f t="shared" si="79"/>
        <v>2.8952985600000001</v>
      </c>
      <c r="K1650" s="8">
        <f t="shared" si="81"/>
        <v>3.6847634730323016</v>
      </c>
      <c r="L1650" s="8">
        <f t="shared" si="80"/>
        <v>1.8423817365161508</v>
      </c>
    </row>
    <row r="1651" spans="1:12" x14ac:dyDescent="0.25">
      <c r="A1651" s="1">
        <v>1652</v>
      </c>
      <c r="B1651" s="1">
        <v>745</v>
      </c>
      <c r="C1651" s="3" t="s">
        <v>63</v>
      </c>
      <c r="D1651" s="5" t="s">
        <v>22</v>
      </c>
      <c r="E1651" s="10">
        <v>1.79</v>
      </c>
      <c r="F1651" s="10">
        <v>6.8</v>
      </c>
      <c r="G1651" s="10">
        <v>5.13</v>
      </c>
      <c r="H1651" s="10">
        <v>1.74</v>
      </c>
      <c r="I1651" s="8">
        <f t="shared" si="79"/>
        <v>2.37787704</v>
      </c>
      <c r="K1651" s="8">
        <f t="shared" si="81"/>
        <v>8.2070679378783336</v>
      </c>
      <c r="L1651" s="8">
        <f t="shared" si="80"/>
        <v>4.1035339689391668</v>
      </c>
    </row>
    <row r="1652" spans="1:12" x14ac:dyDescent="0.25">
      <c r="A1652" s="1">
        <v>1653</v>
      </c>
      <c r="B1652" s="1">
        <v>746</v>
      </c>
      <c r="C1652" s="3" t="s">
        <v>63</v>
      </c>
      <c r="D1652" s="5" t="s">
        <v>22</v>
      </c>
      <c r="E1652" s="10">
        <v>1.96</v>
      </c>
      <c r="F1652" s="10">
        <v>11.74</v>
      </c>
      <c r="G1652" s="10">
        <v>8.65</v>
      </c>
      <c r="H1652" s="10">
        <v>2.0699999999999998</v>
      </c>
      <c r="I1652" s="8">
        <f t="shared" si="79"/>
        <v>3.3653604599999993</v>
      </c>
      <c r="K1652" s="8">
        <f t="shared" si="81"/>
        <v>24.12090417538035</v>
      </c>
      <c r="L1652" s="8">
        <f t="shared" si="80"/>
        <v>12.060452087690175</v>
      </c>
    </row>
    <row r="1653" spans="1:12" x14ac:dyDescent="0.25">
      <c r="A1653" s="1">
        <v>1654</v>
      </c>
      <c r="B1653" s="1">
        <v>747</v>
      </c>
      <c r="C1653" s="3" t="s">
        <v>63</v>
      </c>
      <c r="D1653" s="5" t="s">
        <v>22</v>
      </c>
      <c r="E1653" s="10">
        <v>2.34</v>
      </c>
      <c r="F1653" s="10">
        <v>8.3800000000000008</v>
      </c>
      <c r="G1653" s="10">
        <v>7.01</v>
      </c>
      <c r="H1653" s="10">
        <v>1.68</v>
      </c>
      <c r="I1653" s="8">
        <f t="shared" si="79"/>
        <v>2.2167129599999997</v>
      </c>
      <c r="K1653" s="8">
        <f t="shared" si="81"/>
        <v>15.63147555112362</v>
      </c>
      <c r="L1653" s="8">
        <f t="shared" si="80"/>
        <v>7.8157377755618098</v>
      </c>
    </row>
    <row r="1654" spans="1:12" x14ac:dyDescent="0.25">
      <c r="A1654" s="1">
        <v>1655</v>
      </c>
      <c r="B1654" s="1">
        <v>748</v>
      </c>
      <c r="C1654" s="3" t="s">
        <v>63</v>
      </c>
      <c r="D1654" s="5" t="s">
        <v>22</v>
      </c>
      <c r="E1654" s="10">
        <v>2.0299999999999998</v>
      </c>
      <c r="F1654" s="10">
        <v>10.64</v>
      </c>
      <c r="G1654" s="10">
        <v>7.07</v>
      </c>
      <c r="H1654" s="10">
        <v>2.08</v>
      </c>
      <c r="I1654" s="8">
        <f t="shared" si="79"/>
        <v>3.3979545600000005</v>
      </c>
      <c r="K1654" s="8">
        <f t="shared" si="81"/>
        <v>15.90881406303269</v>
      </c>
      <c r="L1654" s="8">
        <f t="shared" si="80"/>
        <v>7.9544070315163449</v>
      </c>
    </row>
    <row r="1655" spans="1:12" x14ac:dyDescent="0.25">
      <c r="A1655" s="1">
        <v>1656</v>
      </c>
      <c r="B1655" s="1">
        <v>749</v>
      </c>
      <c r="C1655" s="3" t="s">
        <v>63</v>
      </c>
      <c r="D1655" s="5" t="s">
        <v>22</v>
      </c>
      <c r="E1655" s="10">
        <v>1.17</v>
      </c>
      <c r="F1655" s="10">
        <v>8.85</v>
      </c>
      <c r="G1655" s="10">
        <v>5.17</v>
      </c>
      <c r="H1655" s="10">
        <v>1.74</v>
      </c>
      <c r="I1655" s="8">
        <f t="shared" si="79"/>
        <v>2.37787704</v>
      </c>
      <c r="K1655" s="8">
        <f t="shared" si="81"/>
        <v>8.3396645329276389</v>
      </c>
      <c r="L1655" s="8">
        <f t="shared" si="80"/>
        <v>4.1698322664638194</v>
      </c>
    </row>
    <row r="1656" spans="1:12" x14ac:dyDescent="0.25">
      <c r="A1656" s="1">
        <v>1657</v>
      </c>
      <c r="B1656" s="1">
        <v>750</v>
      </c>
      <c r="C1656" s="3" t="s">
        <v>63</v>
      </c>
      <c r="D1656" s="5" t="s">
        <v>22</v>
      </c>
      <c r="E1656" s="10">
        <v>1.1299999999999999</v>
      </c>
      <c r="F1656" s="10">
        <v>5.3</v>
      </c>
      <c r="G1656" s="10">
        <v>6.56</v>
      </c>
      <c r="H1656" s="10">
        <v>1.78</v>
      </c>
      <c r="I1656" s="8">
        <f t="shared" si="79"/>
        <v>2.4884613600000001</v>
      </c>
      <c r="K1656" s="8">
        <f t="shared" si="81"/>
        <v>13.631445707472789</v>
      </c>
      <c r="L1656" s="8">
        <f t="shared" si="80"/>
        <v>6.8157228537363945</v>
      </c>
    </row>
    <row r="1657" spans="1:12" x14ac:dyDescent="0.25">
      <c r="A1657" s="1">
        <v>1658</v>
      </c>
      <c r="B1657" s="1">
        <v>751</v>
      </c>
      <c r="C1657" s="3" t="s">
        <v>63</v>
      </c>
      <c r="D1657" s="5" t="s">
        <v>22</v>
      </c>
      <c r="E1657" s="10">
        <v>2.19</v>
      </c>
      <c r="F1657" s="10">
        <v>9.43</v>
      </c>
      <c r="G1657" s="10">
        <v>3.06</v>
      </c>
      <c r="H1657" s="10">
        <v>1.94</v>
      </c>
      <c r="I1657" s="8">
        <f t="shared" si="79"/>
        <v>2.9559314399999996</v>
      </c>
      <c r="K1657" s="8">
        <f t="shared" si="81"/>
        <v>2.8258363617045612</v>
      </c>
      <c r="L1657" s="8">
        <f t="shared" si="80"/>
        <v>1.4129181808522806</v>
      </c>
    </row>
    <row r="1658" spans="1:12" x14ac:dyDescent="0.25">
      <c r="A1658" s="1">
        <v>1659</v>
      </c>
      <c r="B1658" s="1">
        <v>752</v>
      </c>
      <c r="C1658" s="3" t="s">
        <v>63</v>
      </c>
      <c r="D1658" s="5" t="s">
        <v>22</v>
      </c>
      <c r="E1658" s="10">
        <v>1.22</v>
      </c>
      <c r="F1658" s="10">
        <v>11.66</v>
      </c>
      <c r="G1658" s="10">
        <v>6.82</v>
      </c>
      <c r="H1658" s="10">
        <v>1.98</v>
      </c>
      <c r="I1658" s="8">
        <f t="shared" si="79"/>
        <v>3.07908216</v>
      </c>
      <c r="K1658" s="8">
        <f t="shared" si="81"/>
        <v>14.769809801444969</v>
      </c>
      <c r="L1658" s="8">
        <f t="shared" si="80"/>
        <v>7.3849049007224847</v>
      </c>
    </row>
    <row r="1659" spans="1:12" x14ac:dyDescent="0.25">
      <c r="A1659" s="1">
        <v>1660</v>
      </c>
      <c r="B1659" s="1">
        <v>753</v>
      </c>
      <c r="C1659" s="3" t="s">
        <v>63</v>
      </c>
      <c r="D1659" s="5" t="s">
        <v>22</v>
      </c>
      <c r="E1659" s="10">
        <v>1.86</v>
      </c>
      <c r="F1659" s="10">
        <v>9.2100000000000009</v>
      </c>
      <c r="G1659" s="10">
        <v>8.48</v>
      </c>
      <c r="H1659" s="10">
        <v>1.79</v>
      </c>
      <c r="I1659" s="8">
        <f t="shared" si="79"/>
        <v>2.5165001399999998</v>
      </c>
      <c r="K1659" s="8">
        <f t="shared" si="81"/>
        <v>23.152915499378341</v>
      </c>
      <c r="L1659" s="8">
        <f t="shared" si="80"/>
        <v>11.576457749689171</v>
      </c>
    </row>
    <row r="1660" spans="1:12" x14ac:dyDescent="0.25">
      <c r="A1660" s="1">
        <v>1661</v>
      </c>
      <c r="B1660" s="1">
        <v>754</v>
      </c>
      <c r="C1660" s="3" t="s">
        <v>63</v>
      </c>
      <c r="D1660" s="5" t="s">
        <v>22</v>
      </c>
      <c r="E1660" s="10">
        <v>1.88</v>
      </c>
      <c r="F1660" s="10">
        <v>10.73</v>
      </c>
      <c r="G1660" s="10">
        <v>6.68</v>
      </c>
      <c r="H1660" s="10">
        <v>2.06</v>
      </c>
      <c r="I1660" s="8">
        <f t="shared" si="79"/>
        <v>3.3329234399999996</v>
      </c>
      <c r="K1660" s="8">
        <f t="shared" si="81"/>
        <v>14.150998206595151</v>
      </c>
      <c r="L1660" s="8">
        <f t="shared" si="80"/>
        <v>7.0754991032975756</v>
      </c>
    </row>
    <row r="1661" spans="1:12" x14ac:dyDescent="0.25">
      <c r="A1661" s="1">
        <v>1662</v>
      </c>
      <c r="B1661" s="1">
        <v>755</v>
      </c>
      <c r="C1661" s="3" t="s">
        <v>63</v>
      </c>
      <c r="D1661" s="5" t="s">
        <v>22</v>
      </c>
      <c r="E1661" s="10">
        <v>1.86</v>
      </c>
      <c r="F1661" s="10">
        <v>11.19</v>
      </c>
      <c r="G1661" s="10">
        <v>8.24</v>
      </c>
      <c r="H1661" s="10">
        <v>1.97</v>
      </c>
      <c r="I1661" s="8">
        <f t="shared" si="79"/>
        <v>3.0480588599999998</v>
      </c>
      <c r="K1661" s="8">
        <f t="shared" si="81"/>
        <v>21.82110037122558</v>
      </c>
      <c r="L1661" s="8">
        <f t="shared" si="80"/>
        <v>10.91055018561279</v>
      </c>
    </row>
    <row r="1662" spans="1:12" x14ac:dyDescent="0.25">
      <c r="A1662" s="1">
        <v>1663</v>
      </c>
      <c r="B1662" s="1">
        <v>756</v>
      </c>
      <c r="C1662" s="3" t="s">
        <v>63</v>
      </c>
      <c r="D1662" s="5" t="s">
        <v>22</v>
      </c>
      <c r="E1662" s="10">
        <v>1.67</v>
      </c>
      <c r="F1662" s="10">
        <v>6.6</v>
      </c>
      <c r="G1662" s="10">
        <v>7.34</v>
      </c>
      <c r="H1662" s="10">
        <v>1.74</v>
      </c>
      <c r="I1662" s="8">
        <f t="shared" si="79"/>
        <v>2.37787704</v>
      </c>
      <c r="K1662" s="8">
        <f t="shared" si="81"/>
        <v>17.187973096972023</v>
      </c>
      <c r="L1662" s="8">
        <f t="shared" si="80"/>
        <v>8.5939865484860114</v>
      </c>
    </row>
    <row r="1663" spans="1:12" x14ac:dyDescent="0.25">
      <c r="A1663" s="1">
        <v>1664</v>
      </c>
      <c r="B1663" s="1">
        <v>757</v>
      </c>
      <c r="C1663" s="3" t="s">
        <v>63</v>
      </c>
      <c r="D1663" s="5" t="s">
        <v>22</v>
      </c>
      <c r="E1663" s="10">
        <v>2.3199999999999998</v>
      </c>
      <c r="F1663" s="10">
        <v>6.48</v>
      </c>
      <c r="G1663" s="10">
        <v>3.72</v>
      </c>
      <c r="H1663" s="10">
        <v>2.0699999999999998</v>
      </c>
      <c r="I1663" s="8">
        <f t="shared" si="79"/>
        <v>3.3653604599999993</v>
      </c>
      <c r="K1663" s="8">
        <f t="shared" si="81"/>
        <v>4.228401342619498</v>
      </c>
      <c r="L1663" s="8">
        <f t="shared" si="80"/>
        <v>2.114200671309749</v>
      </c>
    </row>
    <row r="1664" spans="1:12" x14ac:dyDescent="0.25">
      <c r="A1664" s="1">
        <v>1665</v>
      </c>
      <c r="B1664" s="1">
        <v>758</v>
      </c>
      <c r="C1664" s="3" t="s">
        <v>63</v>
      </c>
      <c r="D1664" s="5" t="s">
        <v>22</v>
      </c>
      <c r="E1664" s="10">
        <v>1.2</v>
      </c>
      <c r="F1664" s="10">
        <v>9.2799999999999994</v>
      </c>
      <c r="G1664" s="10">
        <v>8.41</v>
      </c>
      <c r="H1664" s="10">
        <v>1.72</v>
      </c>
      <c r="I1664" s="8">
        <f t="shared" si="79"/>
        <v>2.3235273599999999</v>
      </c>
      <c r="K1664" s="8">
        <f t="shared" si="81"/>
        <v>22.760268597806622</v>
      </c>
      <c r="L1664" s="8">
        <f t="shared" si="80"/>
        <v>11.380134298903311</v>
      </c>
    </row>
    <row r="1665" spans="1:12" x14ac:dyDescent="0.25">
      <c r="A1665" s="1">
        <v>1666</v>
      </c>
      <c r="B1665" s="1">
        <v>759</v>
      </c>
      <c r="C1665" s="3" t="s">
        <v>63</v>
      </c>
      <c r="D1665" s="5" t="s">
        <v>22</v>
      </c>
      <c r="E1665" s="10">
        <v>1.94</v>
      </c>
      <c r="F1665" s="10">
        <v>7.88</v>
      </c>
      <c r="G1665" s="10">
        <v>3.4</v>
      </c>
      <c r="H1665" s="10">
        <v>2.06</v>
      </c>
      <c r="I1665" s="8">
        <f t="shared" ref="I1665:I1728" si="82">0.7854*H1665^2</f>
        <v>3.3329234399999996</v>
      </c>
      <c r="K1665" s="8">
        <f t="shared" si="81"/>
        <v>3.5121058051934697</v>
      </c>
      <c r="L1665" s="8">
        <f t="shared" ref="L1665:L1728" si="83">K1665*0.5</f>
        <v>1.7560529025967349</v>
      </c>
    </row>
    <row r="1666" spans="1:12" x14ac:dyDescent="0.25">
      <c r="A1666" s="1">
        <v>1667</v>
      </c>
      <c r="B1666" s="1">
        <v>760</v>
      </c>
      <c r="C1666" s="3" t="s">
        <v>63</v>
      </c>
      <c r="D1666" s="5" t="s">
        <v>22</v>
      </c>
      <c r="E1666" s="10">
        <v>2.39</v>
      </c>
      <c r="F1666" s="10">
        <v>10.88</v>
      </c>
      <c r="G1666" s="10">
        <v>6.2</v>
      </c>
      <c r="H1666" s="10">
        <v>1.91</v>
      </c>
      <c r="I1666" s="8">
        <f t="shared" si="82"/>
        <v>2.8652177399999998</v>
      </c>
      <c r="K1666" s="8">
        <f t="shared" si="81"/>
        <v>12.132801627168117</v>
      </c>
      <c r="L1666" s="8">
        <f t="shared" si="83"/>
        <v>6.0664008135840586</v>
      </c>
    </row>
    <row r="1667" spans="1:12" x14ac:dyDescent="0.25">
      <c r="A1667" s="1">
        <v>1668</v>
      </c>
      <c r="B1667" s="1">
        <v>761</v>
      </c>
      <c r="C1667" s="3" t="s">
        <v>63</v>
      </c>
      <c r="D1667" s="5" t="s">
        <v>22</v>
      </c>
      <c r="E1667" s="10">
        <v>1.75</v>
      </c>
      <c r="F1667" s="10">
        <v>11.3</v>
      </c>
      <c r="G1667" s="10">
        <v>3.85</v>
      </c>
      <c r="H1667" s="10">
        <v>1.78</v>
      </c>
      <c r="I1667" s="8">
        <f t="shared" si="82"/>
        <v>2.4884613600000001</v>
      </c>
      <c r="K1667" s="8">
        <f t="shared" si="81"/>
        <v>4.5389882756530318</v>
      </c>
      <c r="L1667" s="8">
        <f t="shared" si="83"/>
        <v>2.2694941378265159</v>
      </c>
    </row>
    <row r="1668" spans="1:12" x14ac:dyDescent="0.25">
      <c r="A1668" s="1">
        <v>1669</v>
      </c>
      <c r="B1668" s="1">
        <v>762</v>
      </c>
      <c r="C1668" s="3" t="s">
        <v>63</v>
      </c>
      <c r="D1668" s="5" t="s">
        <v>22</v>
      </c>
      <c r="E1668" s="10">
        <v>1.24</v>
      </c>
      <c r="F1668" s="10">
        <v>7.47</v>
      </c>
      <c r="G1668" s="10">
        <v>3.07</v>
      </c>
      <c r="H1668" s="10">
        <v>2.0499999999999998</v>
      </c>
      <c r="I1668" s="8">
        <f t="shared" si="82"/>
        <v>3.3006434999999996</v>
      </c>
      <c r="K1668" s="8">
        <f t="shared" si="81"/>
        <v>2.844925404258063</v>
      </c>
      <c r="L1668" s="8">
        <f t="shared" si="83"/>
        <v>1.4224627021290315</v>
      </c>
    </row>
    <row r="1669" spans="1:12" x14ac:dyDescent="0.25">
      <c r="A1669" s="1">
        <v>1670</v>
      </c>
      <c r="B1669" s="1">
        <v>763</v>
      </c>
      <c r="C1669" s="3" t="s">
        <v>63</v>
      </c>
      <c r="D1669" s="5" t="s">
        <v>22</v>
      </c>
      <c r="E1669" s="10">
        <v>2.1800000000000002</v>
      </c>
      <c r="F1669" s="10">
        <v>6.66</v>
      </c>
      <c r="G1669" s="10">
        <v>5.53</v>
      </c>
      <c r="H1669" s="10">
        <v>1.98</v>
      </c>
      <c r="I1669" s="8">
        <f t="shared" si="82"/>
        <v>3.07908216</v>
      </c>
      <c r="K1669" s="8">
        <f t="shared" si="81"/>
        <v>9.5823968738114988</v>
      </c>
      <c r="L1669" s="8">
        <f t="shared" si="83"/>
        <v>4.7911984369057494</v>
      </c>
    </row>
    <row r="1670" spans="1:12" x14ac:dyDescent="0.25">
      <c r="A1670" s="1">
        <v>1671</v>
      </c>
      <c r="B1670" s="1">
        <v>764</v>
      </c>
      <c r="C1670" s="3" t="s">
        <v>63</v>
      </c>
      <c r="D1670" s="5" t="s">
        <v>22</v>
      </c>
      <c r="E1670" s="10">
        <v>2.38</v>
      </c>
      <c r="F1670" s="10">
        <v>10.46</v>
      </c>
      <c r="G1670" s="10">
        <v>4.7699999999999996</v>
      </c>
      <c r="H1670" s="10">
        <v>1.94</v>
      </c>
      <c r="I1670" s="8">
        <f t="shared" si="82"/>
        <v>2.9559314399999996</v>
      </c>
      <c r="K1670" s="8">
        <f t="shared" si="81"/>
        <v>7.0629075365077485</v>
      </c>
      <c r="L1670" s="8">
        <f t="shared" si="83"/>
        <v>3.5314537682538742</v>
      </c>
    </row>
    <row r="1671" spans="1:12" x14ac:dyDescent="0.25">
      <c r="A1671" s="1">
        <v>1672</v>
      </c>
      <c r="B1671" s="1">
        <v>765</v>
      </c>
      <c r="C1671" s="3" t="s">
        <v>63</v>
      </c>
      <c r="D1671" s="5" t="s">
        <v>22</v>
      </c>
      <c r="E1671" s="10">
        <v>2.0099999999999998</v>
      </c>
      <c r="F1671" s="10">
        <v>6.92</v>
      </c>
      <c r="G1671" s="10">
        <v>5.92</v>
      </c>
      <c r="H1671" s="10">
        <v>2.02</v>
      </c>
      <c r="I1671" s="8">
        <f t="shared" si="82"/>
        <v>3.20474616</v>
      </c>
      <c r="K1671" s="8">
        <f t="shared" si="81"/>
        <v>11.029267940711481</v>
      </c>
      <c r="L1671" s="8">
        <f t="shared" si="83"/>
        <v>5.5146339703557405</v>
      </c>
    </row>
    <row r="1672" spans="1:12" x14ac:dyDescent="0.25">
      <c r="A1672" s="1">
        <v>1673</v>
      </c>
      <c r="B1672" s="1">
        <v>766</v>
      </c>
      <c r="C1672" s="3" t="s">
        <v>63</v>
      </c>
      <c r="D1672" s="5" t="s">
        <v>22</v>
      </c>
      <c r="E1672" s="10">
        <v>2.02</v>
      </c>
      <c r="F1672" s="10">
        <v>10.76</v>
      </c>
      <c r="G1672" s="10">
        <v>6.46</v>
      </c>
      <c r="H1672" s="10">
        <v>1.81</v>
      </c>
      <c r="I1672" s="8">
        <f t="shared" si="82"/>
        <v>2.5730489400000001</v>
      </c>
      <c r="K1672" s="8">
        <f t="shared" si="81"/>
        <v>13.206132383245722</v>
      </c>
      <c r="L1672" s="8">
        <f t="shared" si="83"/>
        <v>6.6030661916228608</v>
      </c>
    </row>
    <row r="1673" spans="1:12" x14ac:dyDescent="0.25">
      <c r="A1673" s="1">
        <v>1674</v>
      </c>
      <c r="B1673" s="1">
        <v>767</v>
      </c>
      <c r="C1673" s="3" t="s">
        <v>63</v>
      </c>
      <c r="D1673" s="5" t="s">
        <v>22</v>
      </c>
      <c r="E1673" s="10">
        <v>2.21</v>
      </c>
      <c r="F1673" s="10">
        <v>7.97</v>
      </c>
      <c r="G1673" s="10">
        <v>3.26</v>
      </c>
      <c r="H1673" s="10">
        <v>1.9</v>
      </c>
      <c r="I1673" s="8">
        <f t="shared" si="82"/>
        <v>2.8352939999999998</v>
      </c>
      <c r="K1673" s="8">
        <f t="shared" si="81"/>
        <v>3.2202186680862033</v>
      </c>
      <c r="L1673" s="8">
        <f t="shared" si="83"/>
        <v>1.6101093340431016</v>
      </c>
    </row>
    <row r="1674" spans="1:12" x14ac:dyDescent="0.25">
      <c r="A1674" s="1">
        <v>1675</v>
      </c>
      <c r="B1674" s="1">
        <v>768</v>
      </c>
      <c r="C1674" s="3" t="s">
        <v>63</v>
      </c>
      <c r="D1674" s="5" t="s">
        <v>22</v>
      </c>
      <c r="E1674" s="10">
        <v>2.11</v>
      </c>
      <c r="F1674" s="10">
        <v>9.67</v>
      </c>
      <c r="G1674" s="10">
        <v>3.74</v>
      </c>
      <c r="H1674" s="10">
        <v>1.76</v>
      </c>
      <c r="I1674" s="8">
        <f t="shared" si="82"/>
        <v>2.4328550399999997</v>
      </c>
      <c r="K1674" s="8">
        <f t="shared" si="81"/>
        <v>4.2754457164372068</v>
      </c>
      <c r="L1674" s="8">
        <f t="shared" si="83"/>
        <v>2.1377228582186034</v>
      </c>
    </row>
    <row r="1675" spans="1:12" x14ac:dyDescent="0.25">
      <c r="A1675" s="1">
        <v>1676</v>
      </c>
      <c r="B1675" s="1">
        <v>769</v>
      </c>
      <c r="C1675" s="3" t="s">
        <v>63</v>
      </c>
      <c r="D1675" s="5" t="s">
        <v>22</v>
      </c>
      <c r="E1675" s="10">
        <v>1.55</v>
      </c>
      <c r="F1675" s="10">
        <v>5.67</v>
      </c>
      <c r="G1675" s="10">
        <v>6.35</v>
      </c>
      <c r="H1675" s="10">
        <v>2.06</v>
      </c>
      <c r="I1675" s="8">
        <f t="shared" si="82"/>
        <v>3.3329234399999996</v>
      </c>
      <c r="K1675" s="8">
        <f t="shared" si="81"/>
        <v>12.746308564853893</v>
      </c>
      <c r="L1675" s="8">
        <f t="shared" si="83"/>
        <v>6.3731542824269463</v>
      </c>
    </row>
    <row r="1676" spans="1:12" x14ac:dyDescent="0.25">
      <c r="A1676" s="1">
        <v>1677</v>
      </c>
      <c r="B1676" s="1">
        <v>770</v>
      </c>
      <c r="C1676" s="3" t="s">
        <v>63</v>
      </c>
      <c r="D1676" s="5" t="s">
        <v>22</v>
      </c>
      <c r="E1676" s="10">
        <v>1.85</v>
      </c>
      <c r="F1676" s="10">
        <v>9.3699999999999992</v>
      </c>
      <c r="G1676" s="10">
        <v>5.0599999999999996</v>
      </c>
      <c r="H1676" s="10">
        <v>1.97</v>
      </c>
      <c r="I1676" s="8">
        <f t="shared" si="82"/>
        <v>3.0480588599999998</v>
      </c>
      <c r="K1676" s="8">
        <f t="shared" ref="K1676:K1706" si="84">0.2811*G1676^2.0635</f>
        <v>7.9776584191536219</v>
      </c>
      <c r="L1676" s="8">
        <f t="shared" si="83"/>
        <v>3.988829209576811</v>
      </c>
    </row>
    <row r="1677" spans="1:12" x14ac:dyDescent="0.25">
      <c r="A1677" s="1">
        <v>1678</v>
      </c>
      <c r="B1677" s="1">
        <v>771</v>
      </c>
      <c r="C1677" s="3" t="s">
        <v>63</v>
      </c>
      <c r="D1677" s="5" t="s">
        <v>22</v>
      </c>
      <c r="E1677" s="10">
        <v>1.62</v>
      </c>
      <c r="F1677" s="10">
        <v>8.16</v>
      </c>
      <c r="G1677" s="10">
        <v>7.38</v>
      </c>
      <c r="H1677" s="10">
        <v>1.74</v>
      </c>
      <c r="I1677" s="8">
        <f t="shared" si="82"/>
        <v>2.37787704</v>
      </c>
      <c r="K1677" s="8">
        <f t="shared" si="84"/>
        <v>17.381815998454535</v>
      </c>
      <c r="L1677" s="8">
        <f t="shared" si="83"/>
        <v>8.6909079992272673</v>
      </c>
    </row>
    <row r="1678" spans="1:12" x14ac:dyDescent="0.25">
      <c r="A1678" s="1">
        <v>1679</v>
      </c>
      <c r="B1678" s="1">
        <v>772</v>
      </c>
      <c r="C1678" s="3" t="s">
        <v>63</v>
      </c>
      <c r="D1678" s="5" t="s">
        <v>22</v>
      </c>
      <c r="E1678" s="10">
        <v>1.45</v>
      </c>
      <c r="F1678" s="10">
        <v>9.11</v>
      </c>
      <c r="G1678" s="10">
        <v>6.91</v>
      </c>
      <c r="H1678" s="10">
        <v>2.0099999999999998</v>
      </c>
      <c r="I1678" s="8">
        <f t="shared" si="82"/>
        <v>3.1730945399999992</v>
      </c>
      <c r="K1678" s="8">
        <f t="shared" si="84"/>
        <v>15.174828668281439</v>
      </c>
      <c r="L1678" s="8">
        <f t="shared" si="83"/>
        <v>7.5874143341407194</v>
      </c>
    </row>
    <row r="1679" spans="1:12" x14ac:dyDescent="0.25">
      <c r="A1679" s="1">
        <v>1680</v>
      </c>
      <c r="B1679" s="1">
        <v>773</v>
      </c>
      <c r="C1679" s="3" t="s">
        <v>63</v>
      </c>
      <c r="D1679" s="5" t="s">
        <v>22</v>
      </c>
      <c r="E1679" s="10">
        <v>1.44</v>
      </c>
      <c r="F1679" s="10">
        <v>6.18</v>
      </c>
      <c r="G1679" s="10">
        <v>8.07</v>
      </c>
      <c r="H1679" s="10">
        <v>1.97</v>
      </c>
      <c r="I1679" s="8">
        <f t="shared" si="82"/>
        <v>3.0480588599999998</v>
      </c>
      <c r="K1679" s="8">
        <f t="shared" si="84"/>
        <v>20.902314816728655</v>
      </c>
      <c r="L1679" s="8">
        <f t="shared" si="83"/>
        <v>10.451157408364327</v>
      </c>
    </row>
    <row r="1680" spans="1:12" x14ac:dyDescent="0.25">
      <c r="A1680" s="1">
        <v>1681</v>
      </c>
      <c r="B1680" s="1">
        <v>774</v>
      </c>
      <c r="C1680" s="3" t="s">
        <v>63</v>
      </c>
      <c r="D1680" s="5" t="s">
        <v>22</v>
      </c>
      <c r="E1680" s="10">
        <v>1.1299999999999999</v>
      </c>
      <c r="F1680" s="10">
        <v>10.16</v>
      </c>
      <c r="G1680" s="10">
        <v>7.15</v>
      </c>
      <c r="H1680" s="10">
        <v>2.0699999999999998</v>
      </c>
      <c r="I1680" s="8">
        <f t="shared" si="82"/>
        <v>3.3653604599999993</v>
      </c>
      <c r="K1680" s="8">
        <f t="shared" si="84"/>
        <v>16.282510348420868</v>
      </c>
      <c r="L1680" s="8">
        <f t="shared" si="83"/>
        <v>8.1412551742104338</v>
      </c>
    </row>
    <row r="1681" spans="1:12" x14ac:dyDescent="0.25">
      <c r="A1681" s="1">
        <v>1682</v>
      </c>
      <c r="B1681" s="1">
        <v>775</v>
      </c>
      <c r="C1681" s="3" t="s">
        <v>63</v>
      </c>
      <c r="D1681" s="5" t="s">
        <v>22</v>
      </c>
      <c r="E1681" s="10">
        <v>1.1299999999999999</v>
      </c>
      <c r="F1681" s="10">
        <v>11.04</v>
      </c>
      <c r="G1681" s="10">
        <v>5.58</v>
      </c>
      <c r="H1681" s="10">
        <v>1.73</v>
      </c>
      <c r="I1681" s="8">
        <f t="shared" si="82"/>
        <v>2.3506236600000001</v>
      </c>
      <c r="K1681" s="8">
        <f t="shared" si="84"/>
        <v>9.7620384775142846</v>
      </c>
      <c r="L1681" s="8">
        <f t="shared" si="83"/>
        <v>4.8810192387571423</v>
      </c>
    </row>
    <row r="1682" spans="1:12" x14ac:dyDescent="0.25">
      <c r="A1682" s="1">
        <v>1683</v>
      </c>
      <c r="B1682" s="1">
        <v>776</v>
      </c>
      <c r="C1682" s="3" t="s">
        <v>63</v>
      </c>
      <c r="D1682" s="5" t="s">
        <v>22</v>
      </c>
      <c r="E1682" s="10">
        <v>1.36</v>
      </c>
      <c r="F1682" s="10">
        <v>6.52</v>
      </c>
      <c r="G1682" s="10">
        <v>7.04</v>
      </c>
      <c r="H1682" s="10">
        <v>1.93</v>
      </c>
      <c r="I1682" s="8">
        <f t="shared" si="82"/>
        <v>2.92553646</v>
      </c>
      <c r="K1682" s="8">
        <f t="shared" si="84"/>
        <v>15.769830585394285</v>
      </c>
      <c r="L1682" s="8">
        <f t="shared" si="83"/>
        <v>7.8849152926971424</v>
      </c>
    </row>
    <row r="1683" spans="1:12" x14ac:dyDescent="0.25">
      <c r="A1683" s="1">
        <v>1684</v>
      </c>
      <c r="B1683" s="1">
        <v>777</v>
      </c>
      <c r="C1683" s="3" t="s">
        <v>63</v>
      </c>
      <c r="D1683" s="5" t="s">
        <v>22</v>
      </c>
      <c r="E1683" s="10">
        <v>2.3199999999999998</v>
      </c>
      <c r="F1683" s="10">
        <v>5.67</v>
      </c>
      <c r="G1683" s="10">
        <v>4.6500000000000004</v>
      </c>
      <c r="H1683" s="10">
        <v>1.77</v>
      </c>
      <c r="I1683" s="8">
        <f t="shared" si="82"/>
        <v>2.4605796600000001</v>
      </c>
      <c r="K1683" s="8">
        <f t="shared" si="84"/>
        <v>6.7011604076595308</v>
      </c>
      <c r="L1683" s="8">
        <f t="shared" si="83"/>
        <v>3.3505802038297654</v>
      </c>
    </row>
    <row r="1684" spans="1:12" x14ac:dyDescent="0.25">
      <c r="A1684" s="1">
        <v>1685</v>
      </c>
      <c r="B1684" s="1">
        <v>778</v>
      </c>
      <c r="C1684" s="3" t="s">
        <v>63</v>
      </c>
      <c r="D1684" s="5" t="s">
        <v>22</v>
      </c>
      <c r="E1684" s="10">
        <v>1.87</v>
      </c>
      <c r="F1684" s="10">
        <v>5.17</v>
      </c>
      <c r="G1684" s="10">
        <v>4.84</v>
      </c>
      <c r="H1684" s="10">
        <v>1.87</v>
      </c>
      <c r="I1684" s="8">
        <f t="shared" si="82"/>
        <v>2.7464652600000004</v>
      </c>
      <c r="K1684" s="8">
        <f t="shared" si="84"/>
        <v>7.2784558060364803</v>
      </c>
      <c r="L1684" s="8">
        <f t="shared" si="83"/>
        <v>3.6392279030182402</v>
      </c>
    </row>
    <row r="1685" spans="1:12" x14ac:dyDescent="0.25">
      <c r="A1685" s="1">
        <v>1686</v>
      </c>
      <c r="B1685" s="1">
        <v>779</v>
      </c>
      <c r="C1685" s="3" t="s">
        <v>63</v>
      </c>
      <c r="D1685" s="5" t="s">
        <v>22</v>
      </c>
      <c r="E1685" s="10">
        <v>1.1399999999999999</v>
      </c>
      <c r="F1685" s="10">
        <v>9.49</v>
      </c>
      <c r="G1685" s="10">
        <v>7.73</v>
      </c>
      <c r="H1685" s="10">
        <v>1.73</v>
      </c>
      <c r="I1685" s="8">
        <f t="shared" si="82"/>
        <v>2.3506236600000001</v>
      </c>
      <c r="K1685" s="8">
        <f t="shared" si="84"/>
        <v>19.125783322328058</v>
      </c>
      <c r="L1685" s="8">
        <f t="shared" si="83"/>
        <v>9.5628916611640289</v>
      </c>
    </row>
    <row r="1686" spans="1:12" x14ac:dyDescent="0.25">
      <c r="A1686" s="1">
        <v>1687</v>
      </c>
      <c r="B1686" s="1">
        <v>780</v>
      </c>
      <c r="C1686" s="3" t="s">
        <v>63</v>
      </c>
      <c r="D1686" s="5" t="s">
        <v>22</v>
      </c>
      <c r="E1686" s="10">
        <v>1.47</v>
      </c>
      <c r="F1686" s="10">
        <v>9.25</v>
      </c>
      <c r="G1686" s="10">
        <v>5.68</v>
      </c>
      <c r="H1686" s="10">
        <v>1.75</v>
      </c>
      <c r="I1686" s="8">
        <f t="shared" si="82"/>
        <v>2.4052875</v>
      </c>
      <c r="K1686" s="8">
        <f t="shared" si="84"/>
        <v>10.126482962250186</v>
      </c>
      <c r="L1686" s="8">
        <f t="shared" si="83"/>
        <v>5.0632414811250932</v>
      </c>
    </row>
    <row r="1687" spans="1:12" x14ac:dyDescent="0.25">
      <c r="A1687" s="1">
        <v>1688</v>
      </c>
      <c r="B1687" s="1">
        <v>781</v>
      </c>
      <c r="C1687" s="3" t="s">
        <v>63</v>
      </c>
      <c r="D1687" s="5" t="s">
        <v>22</v>
      </c>
      <c r="E1687" s="10">
        <v>1.3</v>
      </c>
      <c r="F1687" s="10">
        <v>8.83</v>
      </c>
      <c r="G1687" s="10">
        <v>7.79</v>
      </c>
      <c r="H1687" s="10">
        <v>1.83</v>
      </c>
      <c r="I1687" s="8">
        <f t="shared" si="82"/>
        <v>2.6302260600000005</v>
      </c>
      <c r="K1687" s="8">
        <f t="shared" si="84"/>
        <v>19.433382084046375</v>
      </c>
      <c r="L1687" s="8">
        <f t="shared" si="83"/>
        <v>9.7166910420231876</v>
      </c>
    </row>
    <row r="1688" spans="1:12" x14ac:dyDescent="0.25">
      <c r="A1688" s="1">
        <v>1689</v>
      </c>
      <c r="B1688" s="1">
        <v>782</v>
      </c>
      <c r="C1688" s="3" t="s">
        <v>63</v>
      </c>
      <c r="D1688" s="5" t="s">
        <v>22</v>
      </c>
      <c r="E1688" s="10">
        <v>2.12</v>
      </c>
      <c r="F1688" s="10">
        <v>6.62</v>
      </c>
      <c r="G1688" s="10">
        <v>7.93</v>
      </c>
      <c r="H1688" s="10">
        <v>1.74</v>
      </c>
      <c r="I1688" s="8">
        <f t="shared" si="82"/>
        <v>2.37787704</v>
      </c>
      <c r="K1688" s="8">
        <f t="shared" si="84"/>
        <v>20.160953485398025</v>
      </c>
      <c r="L1688" s="8">
        <f t="shared" si="83"/>
        <v>10.080476742699013</v>
      </c>
    </row>
    <row r="1689" spans="1:12" x14ac:dyDescent="0.25">
      <c r="A1689" s="1">
        <v>1690</v>
      </c>
      <c r="B1689" s="1">
        <v>783</v>
      </c>
      <c r="C1689" s="3" t="s">
        <v>63</v>
      </c>
      <c r="D1689" s="5" t="s">
        <v>22</v>
      </c>
      <c r="E1689" s="10">
        <v>2.2400000000000002</v>
      </c>
      <c r="F1689" s="10">
        <v>7.74</v>
      </c>
      <c r="G1689" s="10">
        <v>8.15</v>
      </c>
      <c r="H1689" s="10">
        <v>1.97</v>
      </c>
      <c r="I1689" s="8">
        <f t="shared" si="82"/>
        <v>3.0480588599999998</v>
      </c>
      <c r="K1689" s="8">
        <f t="shared" si="84"/>
        <v>21.332147171641427</v>
      </c>
      <c r="L1689" s="8">
        <f t="shared" si="83"/>
        <v>10.666073585820714</v>
      </c>
    </row>
    <row r="1690" spans="1:12" x14ac:dyDescent="0.25">
      <c r="A1690" s="1">
        <v>1691</v>
      </c>
      <c r="B1690" s="1">
        <v>784</v>
      </c>
      <c r="C1690" s="3" t="s">
        <v>63</v>
      </c>
      <c r="D1690" s="5" t="s">
        <v>22</v>
      </c>
      <c r="E1690" s="10">
        <v>1.43</v>
      </c>
      <c r="F1690" s="10">
        <v>9.16</v>
      </c>
      <c r="G1690" s="10">
        <v>8.5</v>
      </c>
      <c r="H1690" s="10">
        <v>2.08</v>
      </c>
      <c r="I1690" s="8">
        <f t="shared" si="82"/>
        <v>3.3979545600000005</v>
      </c>
      <c r="K1690" s="8">
        <f t="shared" si="84"/>
        <v>23.265736162969681</v>
      </c>
      <c r="L1690" s="8">
        <f t="shared" si="83"/>
        <v>11.63286808148484</v>
      </c>
    </row>
    <row r="1691" spans="1:12" x14ac:dyDescent="0.25">
      <c r="A1691" s="1">
        <v>1692</v>
      </c>
      <c r="B1691" s="1">
        <v>785</v>
      </c>
      <c r="C1691" s="3" t="s">
        <v>63</v>
      </c>
      <c r="D1691" s="5" t="s">
        <v>22</v>
      </c>
      <c r="E1691" s="10">
        <v>1.19</v>
      </c>
      <c r="F1691" s="10">
        <v>8.48</v>
      </c>
      <c r="G1691" s="10">
        <v>5.59</v>
      </c>
      <c r="H1691" s="10">
        <v>1.72</v>
      </c>
      <c r="I1691" s="8">
        <f t="shared" si="82"/>
        <v>2.3235273599999999</v>
      </c>
      <c r="K1691" s="8">
        <f t="shared" si="84"/>
        <v>9.7981731790551283</v>
      </c>
      <c r="L1691" s="8">
        <f t="shared" si="83"/>
        <v>4.8990865895275642</v>
      </c>
    </row>
    <row r="1692" spans="1:12" x14ac:dyDescent="0.25">
      <c r="A1692" s="1">
        <v>1693</v>
      </c>
      <c r="B1692" s="1">
        <v>786</v>
      </c>
      <c r="C1692" s="3" t="s">
        <v>63</v>
      </c>
      <c r="D1692" s="5" t="s">
        <v>22</v>
      </c>
      <c r="E1692" s="10">
        <v>2.25</v>
      </c>
      <c r="F1692" s="10">
        <v>11.91</v>
      </c>
      <c r="G1692" s="10">
        <v>4.91</v>
      </c>
      <c r="H1692" s="10">
        <v>1.83</v>
      </c>
      <c r="I1692" s="8">
        <f t="shared" si="82"/>
        <v>2.6302260600000005</v>
      </c>
      <c r="K1692" s="8">
        <f t="shared" si="84"/>
        <v>7.4973451497852759</v>
      </c>
      <c r="L1692" s="8">
        <f t="shared" si="83"/>
        <v>3.7486725748926379</v>
      </c>
    </row>
    <row r="1693" spans="1:12" x14ac:dyDescent="0.25">
      <c r="A1693" s="1">
        <v>1694</v>
      </c>
      <c r="B1693" s="1">
        <v>787</v>
      </c>
      <c r="C1693" s="3" t="s">
        <v>63</v>
      </c>
      <c r="D1693" s="5" t="s">
        <v>22</v>
      </c>
      <c r="E1693" s="10">
        <v>2.25</v>
      </c>
      <c r="F1693" s="10">
        <v>5.96</v>
      </c>
      <c r="G1693" s="10">
        <v>6.49</v>
      </c>
      <c r="H1693" s="10">
        <v>1.99</v>
      </c>
      <c r="I1693" s="8">
        <f t="shared" si="82"/>
        <v>3.1102625399999999</v>
      </c>
      <c r="K1693" s="8">
        <f t="shared" si="84"/>
        <v>13.33299687913826</v>
      </c>
      <c r="L1693" s="8">
        <f t="shared" si="83"/>
        <v>6.6664984395691302</v>
      </c>
    </row>
    <row r="1694" spans="1:12" x14ac:dyDescent="0.25">
      <c r="A1694" s="1">
        <v>1695</v>
      </c>
      <c r="B1694" s="1">
        <v>788</v>
      </c>
      <c r="C1694" s="3" t="s">
        <v>63</v>
      </c>
      <c r="D1694" s="5" t="s">
        <v>22</v>
      </c>
      <c r="E1694" s="10">
        <v>2.23</v>
      </c>
      <c r="F1694" s="10">
        <v>9.8699999999999992</v>
      </c>
      <c r="G1694" s="10">
        <v>5.23</v>
      </c>
      <c r="H1694" s="10">
        <v>1.76</v>
      </c>
      <c r="I1694" s="8">
        <f t="shared" si="82"/>
        <v>2.4328550399999997</v>
      </c>
      <c r="K1694" s="8">
        <f t="shared" si="84"/>
        <v>8.5406137358419834</v>
      </c>
      <c r="L1694" s="8">
        <f t="shared" si="83"/>
        <v>4.2703068679209917</v>
      </c>
    </row>
    <row r="1695" spans="1:12" x14ac:dyDescent="0.25">
      <c r="A1695" s="1">
        <v>1696</v>
      </c>
      <c r="B1695" s="1">
        <v>789</v>
      </c>
      <c r="C1695" s="3" t="s">
        <v>63</v>
      </c>
      <c r="D1695" s="5" t="s">
        <v>22</v>
      </c>
      <c r="E1695" s="10">
        <v>1.74</v>
      </c>
      <c r="F1695" s="10">
        <v>7.83</v>
      </c>
      <c r="G1695" s="10">
        <v>6.61</v>
      </c>
      <c r="H1695" s="10">
        <v>2.0099999999999998</v>
      </c>
      <c r="I1695" s="8">
        <f t="shared" si="82"/>
        <v>3.1730945399999992</v>
      </c>
      <c r="K1695" s="8">
        <f t="shared" si="84"/>
        <v>13.846708745338528</v>
      </c>
      <c r="L1695" s="8">
        <f t="shared" si="83"/>
        <v>6.9233543726692641</v>
      </c>
    </row>
    <row r="1696" spans="1:12" x14ac:dyDescent="0.25">
      <c r="A1696" s="1">
        <v>1697</v>
      </c>
      <c r="B1696" s="1">
        <v>790</v>
      </c>
      <c r="C1696" s="3" t="s">
        <v>63</v>
      </c>
      <c r="D1696" s="5" t="s">
        <v>22</v>
      </c>
      <c r="E1696" s="10">
        <v>1.28</v>
      </c>
      <c r="F1696" s="10">
        <v>8</v>
      </c>
      <c r="G1696" s="10">
        <v>7.23</v>
      </c>
      <c r="H1696" s="10">
        <v>2.02</v>
      </c>
      <c r="I1696" s="8">
        <f t="shared" si="82"/>
        <v>3.20474616</v>
      </c>
      <c r="K1696" s="8">
        <f t="shared" si="84"/>
        <v>16.660679963950781</v>
      </c>
      <c r="L1696" s="8">
        <f t="shared" si="83"/>
        <v>8.3303399819753903</v>
      </c>
    </row>
    <row r="1697" spans="1:13" x14ac:dyDescent="0.25">
      <c r="A1697" s="1">
        <v>1698</v>
      </c>
      <c r="B1697" s="1">
        <v>791</v>
      </c>
      <c r="C1697" s="3" t="s">
        <v>63</v>
      </c>
      <c r="D1697" s="5" t="s">
        <v>22</v>
      </c>
      <c r="E1697" s="10">
        <v>2.2999999999999998</v>
      </c>
      <c r="F1697" s="10">
        <v>10.02</v>
      </c>
      <c r="G1697" s="10">
        <v>7.13</v>
      </c>
      <c r="H1697" s="10">
        <v>1.94</v>
      </c>
      <c r="I1697" s="8">
        <f t="shared" si="82"/>
        <v>2.9559314399999996</v>
      </c>
      <c r="K1697" s="8">
        <f t="shared" si="84"/>
        <v>16.188667026606463</v>
      </c>
      <c r="L1697" s="8">
        <f t="shared" si="83"/>
        <v>8.0943335133032317</v>
      </c>
    </row>
    <row r="1698" spans="1:13" x14ac:dyDescent="0.25">
      <c r="A1698" s="1">
        <v>1699</v>
      </c>
      <c r="B1698" s="1">
        <v>792</v>
      </c>
      <c r="C1698" s="3" t="s">
        <v>63</v>
      </c>
      <c r="D1698" s="5" t="s">
        <v>22</v>
      </c>
      <c r="E1698" s="10">
        <v>1.17</v>
      </c>
      <c r="F1698" s="10">
        <v>9.85</v>
      </c>
      <c r="G1698" s="10">
        <v>5.25</v>
      </c>
      <c r="H1698" s="10">
        <v>1.96</v>
      </c>
      <c r="I1698" s="8">
        <f t="shared" si="82"/>
        <v>3.0171926399999998</v>
      </c>
      <c r="K1698" s="8">
        <f t="shared" si="84"/>
        <v>8.6081448874798614</v>
      </c>
      <c r="L1698" s="8">
        <f t="shared" si="83"/>
        <v>4.3040724437399307</v>
      </c>
    </row>
    <row r="1699" spans="1:13" x14ac:dyDescent="0.25">
      <c r="A1699" s="1">
        <v>1700</v>
      </c>
      <c r="B1699" s="1">
        <v>793</v>
      </c>
      <c r="C1699" s="3" t="s">
        <v>63</v>
      </c>
      <c r="D1699" s="5" t="s">
        <v>22</v>
      </c>
      <c r="E1699" s="10">
        <v>1.35</v>
      </c>
      <c r="F1699" s="10">
        <v>11.94</v>
      </c>
      <c r="G1699" s="10">
        <v>4</v>
      </c>
      <c r="H1699" s="10">
        <v>1.81</v>
      </c>
      <c r="I1699" s="8">
        <f t="shared" si="82"/>
        <v>2.5730489400000001</v>
      </c>
      <c r="K1699" s="8">
        <f t="shared" si="84"/>
        <v>4.9114716065456436</v>
      </c>
      <c r="L1699" s="8">
        <f t="shared" si="83"/>
        <v>2.4557358032728218</v>
      </c>
    </row>
    <row r="1700" spans="1:13" x14ac:dyDescent="0.25">
      <c r="A1700" s="1">
        <v>1701</v>
      </c>
      <c r="B1700" s="1">
        <v>794</v>
      </c>
      <c r="C1700" s="3" t="s">
        <v>63</v>
      </c>
      <c r="D1700" s="5" t="s">
        <v>22</v>
      </c>
      <c r="E1700" s="10">
        <v>1.1000000000000001</v>
      </c>
      <c r="F1700" s="10">
        <v>5.9</v>
      </c>
      <c r="G1700" s="10">
        <v>5.58</v>
      </c>
      <c r="H1700" s="10">
        <v>2.09</v>
      </c>
      <c r="I1700" s="8">
        <f t="shared" si="82"/>
        <v>3.4307057399999992</v>
      </c>
      <c r="K1700" s="8">
        <f t="shared" si="84"/>
        <v>9.7620384775142846</v>
      </c>
      <c r="L1700" s="8">
        <f t="shared" si="83"/>
        <v>4.8810192387571423</v>
      </c>
    </row>
    <row r="1701" spans="1:13" x14ac:dyDescent="0.25">
      <c r="A1701" s="1">
        <v>1702</v>
      </c>
      <c r="B1701" s="1">
        <v>795</v>
      </c>
      <c r="C1701" s="3" t="s">
        <v>63</v>
      </c>
      <c r="D1701" s="5" t="s">
        <v>22</v>
      </c>
      <c r="E1701" s="10">
        <v>1.17</v>
      </c>
      <c r="F1701" s="10">
        <v>5.73</v>
      </c>
      <c r="G1701" s="10">
        <v>3.86</v>
      </c>
      <c r="H1701" s="10">
        <v>1.76</v>
      </c>
      <c r="I1701" s="8">
        <f t="shared" si="82"/>
        <v>2.4328550399999997</v>
      </c>
      <c r="K1701" s="8">
        <f t="shared" si="84"/>
        <v>4.5633496764953376</v>
      </c>
      <c r="L1701" s="8">
        <f t="shared" si="83"/>
        <v>2.2816748382476688</v>
      </c>
    </row>
    <row r="1702" spans="1:13" x14ac:dyDescent="0.25">
      <c r="A1702" s="1">
        <v>1703</v>
      </c>
      <c r="B1702" s="1">
        <v>796</v>
      </c>
      <c r="C1702" s="3" t="s">
        <v>63</v>
      </c>
      <c r="D1702" s="5" t="s">
        <v>22</v>
      </c>
      <c r="E1702" s="10">
        <v>2.09</v>
      </c>
      <c r="F1702" s="10">
        <v>10.07</v>
      </c>
      <c r="G1702" s="10">
        <v>8.34</v>
      </c>
      <c r="H1702" s="10">
        <v>1.91</v>
      </c>
      <c r="I1702" s="8">
        <f t="shared" si="82"/>
        <v>2.8652177399999998</v>
      </c>
      <c r="K1702" s="8">
        <f t="shared" si="84"/>
        <v>22.371082072222809</v>
      </c>
      <c r="L1702" s="8">
        <f t="shared" si="83"/>
        <v>11.185541036111404</v>
      </c>
    </row>
    <row r="1703" spans="1:13" x14ac:dyDescent="0.25">
      <c r="A1703" s="1">
        <v>1704</v>
      </c>
      <c r="B1703" s="1">
        <v>797</v>
      </c>
      <c r="C1703" s="3" t="s">
        <v>63</v>
      </c>
      <c r="D1703" s="5" t="s">
        <v>22</v>
      </c>
      <c r="E1703" s="10">
        <v>2.08</v>
      </c>
      <c r="F1703" s="10">
        <v>9.0500000000000007</v>
      </c>
      <c r="G1703" s="10">
        <v>5.08</v>
      </c>
      <c r="H1703" s="10">
        <v>2.04</v>
      </c>
      <c r="I1703" s="8">
        <f t="shared" si="82"/>
        <v>3.2685206399999998</v>
      </c>
      <c r="K1703" s="8">
        <f t="shared" si="84"/>
        <v>8.0428619776756953</v>
      </c>
      <c r="L1703" s="8">
        <f t="shared" si="83"/>
        <v>4.0214309888378477</v>
      </c>
    </row>
    <row r="1704" spans="1:13" x14ac:dyDescent="0.25">
      <c r="A1704" s="1">
        <v>1705</v>
      </c>
      <c r="B1704" s="1">
        <v>798</v>
      </c>
      <c r="C1704" s="3" t="s">
        <v>63</v>
      </c>
      <c r="D1704" s="5" t="s">
        <v>22</v>
      </c>
      <c r="E1704" s="10">
        <v>2.14</v>
      </c>
      <c r="F1704" s="10">
        <v>6.92</v>
      </c>
      <c r="G1704" s="10">
        <v>3.93</v>
      </c>
      <c r="H1704" s="10">
        <v>1.86</v>
      </c>
      <c r="I1704" s="8">
        <f t="shared" si="82"/>
        <v>2.7171698400000004</v>
      </c>
      <c r="K1704" s="8">
        <f t="shared" si="84"/>
        <v>4.735762053493084</v>
      </c>
      <c r="L1704" s="8">
        <f t="shared" si="83"/>
        <v>2.367881026746542</v>
      </c>
    </row>
    <row r="1705" spans="1:13" x14ac:dyDescent="0.25">
      <c r="A1705" s="1">
        <v>1706</v>
      </c>
      <c r="B1705" s="1">
        <v>799</v>
      </c>
      <c r="C1705" s="3" t="s">
        <v>63</v>
      </c>
      <c r="D1705" s="5" t="s">
        <v>22</v>
      </c>
      <c r="E1705" s="10">
        <v>1.76</v>
      </c>
      <c r="F1705" s="10">
        <v>5.56</v>
      </c>
      <c r="G1705" s="10">
        <v>3.15</v>
      </c>
      <c r="H1705" s="10">
        <v>1.93</v>
      </c>
      <c r="I1705" s="8">
        <f t="shared" si="82"/>
        <v>2.92553646</v>
      </c>
      <c r="K1705" s="8">
        <f t="shared" si="84"/>
        <v>3.0000236151704662</v>
      </c>
      <c r="L1705" s="8">
        <f t="shared" si="83"/>
        <v>1.5000118075852331</v>
      </c>
    </row>
    <row r="1706" spans="1:13" x14ac:dyDescent="0.25">
      <c r="A1706" s="1">
        <v>1707</v>
      </c>
      <c r="B1706" s="1">
        <v>800</v>
      </c>
      <c r="C1706" s="3" t="s">
        <v>63</v>
      </c>
      <c r="D1706" s="5" t="s">
        <v>22</v>
      </c>
      <c r="E1706" s="10">
        <v>2.25</v>
      </c>
      <c r="F1706" s="10">
        <v>5.6</v>
      </c>
      <c r="G1706" s="10">
        <v>6.87</v>
      </c>
      <c r="H1706" s="10">
        <v>2.06</v>
      </c>
      <c r="I1706" s="8">
        <f t="shared" si="82"/>
        <v>3.3329234399999996</v>
      </c>
      <c r="K1706" s="8">
        <f t="shared" si="84"/>
        <v>14.994123117197129</v>
      </c>
      <c r="L1706" s="8">
        <f t="shared" si="83"/>
        <v>7.4970615585985643</v>
      </c>
      <c r="M1706" s="7">
        <f>SUM(L908:L1707)</f>
        <v>4963.5586965597768</v>
      </c>
    </row>
    <row r="1707" spans="1:13" x14ac:dyDescent="0.25">
      <c r="A1707" s="1">
        <v>1708</v>
      </c>
      <c r="B1707" s="1">
        <v>1</v>
      </c>
      <c r="C1707" s="3" t="s">
        <v>4</v>
      </c>
      <c r="D1707" s="5" t="s">
        <v>0</v>
      </c>
      <c r="E1707" s="10">
        <v>4.34</v>
      </c>
      <c r="F1707" s="10">
        <v>11.26</v>
      </c>
      <c r="G1707" s="10">
        <v>6.82</v>
      </c>
      <c r="H1707" s="10">
        <v>2.86</v>
      </c>
      <c r="I1707" s="8">
        <f t="shared" si="82"/>
        <v>6.4242578399999992</v>
      </c>
      <c r="K1707" s="8">
        <f>0.00341*G1707^3.38248</f>
        <v>2.25430851044197</v>
      </c>
      <c r="L1707" s="8">
        <f t="shared" si="83"/>
        <v>1.127154255220985</v>
      </c>
    </row>
    <row r="1708" spans="1:13" x14ac:dyDescent="0.25">
      <c r="A1708" s="1">
        <v>1709</v>
      </c>
      <c r="B1708" s="1">
        <v>2</v>
      </c>
      <c r="C1708" s="3" t="s">
        <v>4</v>
      </c>
      <c r="D1708" s="5" t="s">
        <v>0</v>
      </c>
      <c r="E1708" s="10">
        <v>5.0599999999999996</v>
      </c>
      <c r="F1708" s="10">
        <v>8.42</v>
      </c>
      <c r="G1708" s="10">
        <v>6.94</v>
      </c>
      <c r="H1708" s="10">
        <v>4.97</v>
      </c>
      <c r="I1708" s="8">
        <f t="shared" si="82"/>
        <v>19.400086859999998</v>
      </c>
      <c r="K1708" s="8">
        <f t="shared" ref="K1708:K1729" si="85">0.00341*G1708^3.38248</f>
        <v>2.3913104439478281</v>
      </c>
      <c r="L1708" s="8">
        <f t="shared" si="83"/>
        <v>1.1956552219739141</v>
      </c>
    </row>
    <row r="1709" spans="1:13" x14ac:dyDescent="0.25">
      <c r="A1709" s="1">
        <v>1710</v>
      </c>
      <c r="B1709" s="1">
        <v>3</v>
      </c>
      <c r="C1709" s="3" t="s">
        <v>4</v>
      </c>
      <c r="D1709" s="5" t="s">
        <v>0</v>
      </c>
      <c r="E1709" s="10">
        <v>5.93</v>
      </c>
      <c r="F1709" s="10">
        <v>8.64</v>
      </c>
      <c r="G1709" s="10">
        <v>7.56</v>
      </c>
      <c r="H1709" s="10">
        <v>4.54</v>
      </c>
      <c r="I1709" s="8">
        <f t="shared" si="82"/>
        <v>16.188350639999999</v>
      </c>
      <c r="K1709" s="8">
        <f t="shared" si="85"/>
        <v>3.1940137531355837</v>
      </c>
      <c r="L1709" s="8">
        <f t="shared" si="83"/>
        <v>1.5970068765677918</v>
      </c>
    </row>
    <row r="1710" spans="1:13" x14ac:dyDescent="0.25">
      <c r="A1710" s="1">
        <v>1711</v>
      </c>
      <c r="B1710" s="1">
        <v>4</v>
      </c>
      <c r="C1710" s="3" t="s">
        <v>4</v>
      </c>
      <c r="D1710" s="5" t="s">
        <v>0</v>
      </c>
      <c r="E1710" s="10">
        <v>5.6</v>
      </c>
      <c r="F1710" s="10">
        <v>9.4600000000000009</v>
      </c>
      <c r="G1710" s="10">
        <v>7.64</v>
      </c>
      <c r="H1710" s="10">
        <v>3.4</v>
      </c>
      <c r="I1710" s="8">
        <f t="shared" si="82"/>
        <v>9.0792239999999982</v>
      </c>
      <c r="K1710" s="8">
        <f t="shared" si="85"/>
        <v>3.3097866698389682</v>
      </c>
      <c r="L1710" s="8">
        <f t="shared" si="83"/>
        <v>1.6548933349194841</v>
      </c>
    </row>
    <row r="1711" spans="1:13" x14ac:dyDescent="0.25">
      <c r="A1711" s="1">
        <v>1712</v>
      </c>
      <c r="B1711" s="1">
        <v>5</v>
      </c>
      <c r="C1711" s="3" t="s">
        <v>4</v>
      </c>
      <c r="D1711" s="5" t="s">
        <v>0</v>
      </c>
      <c r="E1711" s="10">
        <v>5.4</v>
      </c>
      <c r="F1711" s="10">
        <v>8</v>
      </c>
      <c r="G1711" s="10">
        <v>6.55</v>
      </c>
      <c r="H1711" s="10">
        <v>3.01</v>
      </c>
      <c r="I1711" s="8">
        <f t="shared" si="82"/>
        <v>7.1158025399999989</v>
      </c>
      <c r="K1711" s="8">
        <f t="shared" si="85"/>
        <v>1.9664108026726024</v>
      </c>
      <c r="L1711" s="8">
        <f t="shared" si="83"/>
        <v>0.98320540133630119</v>
      </c>
    </row>
    <row r="1712" spans="1:13" x14ac:dyDescent="0.25">
      <c r="A1712" s="1">
        <v>1713</v>
      </c>
      <c r="B1712" s="1">
        <v>6</v>
      </c>
      <c r="C1712" s="3" t="s">
        <v>4</v>
      </c>
      <c r="D1712" s="5" t="s">
        <v>0</v>
      </c>
      <c r="E1712" s="10">
        <v>4.7300000000000004</v>
      </c>
      <c r="F1712" s="10">
        <v>8.7899999999999991</v>
      </c>
      <c r="G1712" s="10">
        <v>8.91</v>
      </c>
      <c r="H1712" s="10">
        <v>4.63</v>
      </c>
      <c r="I1712" s="8">
        <f t="shared" si="82"/>
        <v>16.836541259999997</v>
      </c>
      <c r="K1712" s="8">
        <f t="shared" si="85"/>
        <v>5.5679678037546658</v>
      </c>
      <c r="L1712" s="8">
        <f t="shared" si="83"/>
        <v>2.7839839018773329</v>
      </c>
    </row>
    <row r="1713" spans="1:12" x14ac:dyDescent="0.25">
      <c r="A1713" s="1">
        <v>1714</v>
      </c>
      <c r="B1713" s="1">
        <v>7</v>
      </c>
      <c r="C1713" s="3" t="s">
        <v>4</v>
      </c>
      <c r="D1713" s="5" t="s">
        <v>0</v>
      </c>
      <c r="E1713" s="10">
        <v>4.7300000000000004</v>
      </c>
      <c r="F1713" s="10">
        <v>8.98</v>
      </c>
      <c r="G1713" s="10">
        <v>8.33</v>
      </c>
      <c r="H1713" s="10">
        <v>4.41</v>
      </c>
      <c r="I1713" s="8">
        <f t="shared" si="82"/>
        <v>15.27453774</v>
      </c>
      <c r="K1713" s="8">
        <f t="shared" si="85"/>
        <v>4.4342245628436663</v>
      </c>
      <c r="L1713" s="8">
        <f t="shared" si="83"/>
        <v>2.2171122814218331</v>
      </c>
    </row>
    <row r="1714" spans="1:12" x14ac:dyDescent="0.25">
      <c r="A1714" s="1">
        <v>1715</v>
      </c>
      <c r="B1714" s="1">
        <v>8</v>
      </c>
      <c r="C1714" s="3" t="s">
        <v>4</v>
      </c>
      <c r="D1714" s="5" t="s">
        <v>0</v>
      </c>
      <c r="E1714" s="10">
        <v>10.23</v>
      </c>
      <c r="F1714" s="10">
        <v>26.59</v>
      </c>
      <c r="G1714" s="10">
        <v>22.16</v>
      </c>
      <c r="H1714" s="10">
        <v>4.63</v>
      </c>
      <c r="I1714" s="8">
        <f t="shared" si="82"/>
        <v>16.836541259999997</v>
      </c>
      <c r="K1714" s="8">
        <f t="shared" si="85"/>
        <v>121.37162524302654</v>
      </c>
      <c r="L1714" s="8">
        <f t="shared" si="83"/>
        <v>60.685812621513271</v>
      </c>
    </row>
    <row r="1715" spans="1:12" x14ac:dyDescent="0.25">
      <c r="A1715" s="1">
        <v>1716</v>
      </c>
      <c r="B1715" s="1">
        <v>9</v>
      </c>
      <c r="C1715" s="3" t="s">
        <v>4</v>
      </c>
      <c r="D1715" s="5" t="s">
        <v>0</v>
      </c>
      <c r="E1715" s="10">
        <v>8.77</v>
      </c>
      <c r="F1715" s="10">
        <v>24.75</v>
      </c>
      <c r="G1715" s="10">
        <v>20.63</v>
      </c>
      <c r="H1715" s="10">
        <v>6.63</v>
      </c>
      <c r="I1715" s="8">
        <f t="shared" si="82"/>
        <v>34.523749259999995</v>
      </c>
      <c r="K1715" s="8">
        <f t="shared" si="85"/>
        <v>95.284383333216311</v>
      </c>
      <c r="L1715" s="8">
        <f t="shared" si="83"/>
        <v>47.642191666608156</v>
      </c>
    </row>
    <row r="1716" spans="1:12" x14ac:dyDescent="0.25">
      <c r="A1716" s="1">
        <v>1717</v>
      </c>
      <c r="B1716" s="1">
        <v>10</v>
      </c>
      <c r="C1716" s="3" t="s">
        <v>4</v>
      </c>
      <c r="D1716" s="5" t="s">
        <v>0</v>
      </c>
      <c r="E1716" s="10">
        <v>9.6</v>
      </c>
      <c r="F1716" s="10">
        <v>39.270000000000003</v>
      </c>
      <c r="G1716" s="10">
        <v>32.729999999999997</v>
      </c>
      <c r="H1716" s="10">
        <v>6.26</v>
      </c>
      <c r="I1716" s="8">
        <f t="shared" si="82"/>
        <v>30.777941039999998</v>
      </c>
      <c r="K1716" s="8">
        <f t="shared" si="85"/>
        <v>453.97187004437126</v>
      </c>
      <c r="L1716" s="8">
        <f t="shared" si="83"/>
        <v>226.98593502218563</v>
      </c>
    </row>
    <row r="1717" spans="1:12" x14ac:dyDescent="0.25">
      <c r="A1717" s="1">
        <v>1718</v>
      </c>
      <c r="B1717" s="1">
        <v>11</v>
      </c>
      <c r="C1717" s="3" t="s">
        <v>4</v>
      </c>
      <c r="D1717" s="5" t="s">
        <v>0</v>
      </c>
      <c r="E1717" s="10">
        <v>10.99</v>
      </c>
      <c r="F1717" s="10">
        <v>31.54</v>
      </c>
      <c r="G1717" s="10">
        <v>26.29</v>
      </c>
      <c r="H1717" s="10">
        <v>4.68</v>
      </c>
      <c r="I1717" s="8">
        <f t="shared" si="82"/>
        <v>17.202144959999998</v>
      </c>
      <c r="K1717" s="8">
        <f t="shared" si="85"/>
        <v>216.35535092387971</v>
      </c>
      <c r="L1717" s="8">
        <f t="shared" si="83"/>
        <v>108.17767546193986</v>
      </c>
    </row>
    <row r="1718" spans="1:12" x14ac:dyDescent="0.25">
      <c r="A1718" s="1">
        <v>1719</v>
      </c>
      <c r="B1718" s="1">
        <v>12</v>
      </c>
      <c r="C1718" s="3" t="s">
        <v>4</v>
      </c>
      <c r="D1718" s="5" t="s">
        <v>0</v>
      </c>
      <c r="E1718" s="10">
        <v>13.73</v>
      </c>
      <c r="F1718" s="10">
        <v>36.21</v>
      </c>
      <c r="G1718" s="10">
        <v>30.17</v>
      </c>
      <c r="H1718" s="10">
        <v>5.48</v>
      </c>
      <c r="I1718" s="8">
        <f t="shared" si="82"/>
        <v>23.585876160000002</v>
      </c>
      <c r="K1718" s="8">
        <f t="shared" si="85"/>
        <v>344.65792906477503</v>
      </c>
      <c r="L1718" s="8">
        <f t="shared" si="83"/>
        <v>172.32896453238752</v>
      </c>
    </row>
    <row r="1719" spans="1:12" x14ac:dyDescent="0.25">
      <c r="A1719" s="1">
        <v>1720</v>
      </c>
      <c r="B1719" s="1">
        <v>13</v>
      </c>
      <c r="C1719" s="3" t="s">
        <v>4</v>
      </c>
      <c r="D1719" s="5" t="s">
        <v>0</v>
      </c>
      <c r="E1719" s="10">
        <v>14.03</v>
      </c>
      <c r="F1719" s="10">
        <v>45.78</v>
      </c>
      <c r="G1719" s="10">
        <v>38.15</v>
      </c>
      <c r="H1719" s="10">
        <v>7.68</v>
      </c>
      <c r="I1719" s="8">
        <f t="shared" si="82"/>
        <v>46.324776960000001</v>
      </c>
      <c r="K1719" s="8">
        <f t="shared" si="85"/>
        <v>762.30371875790127</v>
      </c>
      <c r="L1719" s="8">
        <f t="shared" si="83"/>
        <v>381.15185937895063</v>
      </c>
    </row>
    <row r="1720" spans="1:12" x14ac:dyDescent="0.25">
      <c r="A1720" s="1">
        <v>1721</v>
      </c>
      <c r="B1720" s="1">
        <v>14</v>
      </c>
      <c r="C1720" s="3" t="s">
        <v>4</v>
      </c>
      <c r="D1720" s="5" t="s">
        <v>0</v>
      </c>
      <c r="E1720" s="10">
        <v>8.0500000000000007</v>
      </c>
      <c r="F1720" s="10">
        <v>29.98</v>
      </c>
      <c r="G1720" s="10">
        <v>24.99</v>
      </c>
      <c r="H1720" s="10">
        <v>5.34</v>
      </c>
      <c r="I1720" s="8">
        <f t="shared" si="82"/>
        <v>22.396152239999999</v>
      </c>
      <c r="K1720" s="8">
        <f t="shared" si="85"/>
        <v>182.25136302626223</v>
      </c>
      <c r="L1720" s="8">
        <f t="shared" si="83"/>
        <v>91.125681513131113</v>
      </c>
    </row>
    <row r="1721" spans="1:12" x14ac:dyDescent="0.25">
      <c r="A1721" s="1">
        <v>1722</v>
      </c>
      <c r="B1721" s="1">
        <v>15</v>
      </c>
      <c r="C1721" s="3" t="s">
        <v>4</v>
      </c>
      <c r="D1721" s="5" t="s">
        <v>0</v>
      </c>
      <c r="E1721" s="10">
        <v>11.58</v>
      </c>
      <c r="F1721" s="10">
        <v>33.85</v>
      </c>
      <c r="G1721" s="10">
        <v>28.21</v>
      </c>
      <c r="H1721" s="10">
        <v>5.01</v>
      </c>
      <c r="I1721" s="8">
        <f t="shared" si="82"/>
        <v>19.713618539999999</v>
      </c>
      <c r="K1721" s="8">
        <f t="shared" si="85"/>
        <v>274.60839500962362</v>
      </c>
      <c r="L1721" s="8">
        <f t="shared" si="83"/>
        <v>137.30419750481181</v>
      </c>
    </row>
    <row r="1722" spans="1:12" x14ac:dyDescent="0.25">
      <c r="A1722" s="1">
        <v>1723</v>
      </c>
      <c r="B1722" s="1">
        <v>16</v>
      </c>
      <c r="C1722" s="3" t="s">
        <v>4</v>
      </c>
      <c r="D1722" s="5" t="s">
        <v>0</v>
      </c>
      <c r="E1722" s="10">
        <v>10.92</v>
      </c>
      <c r="F1722" s="10">
        <v>42.13</v>
      </c>
      <c r="G1722" s="10">
        <v>35.11</v>
      </c>
      <c r="H1722" s="10">
        <v>6.21</v>
      </c>
      <c r="I1722" s="8">
        <f t="shared" si="82"/>
        <v>30.288244139999996</v>
      </c>
      <c r="K1722" s="8">
        <f t="shared" si="85"/>
        <v>575.62977619279786</v>
      </c>
      <c r="L1722" s="8">
        <f t="shared" si="83"/>
        <v>287.81488809639893</v>
      </c>
    </row>
    <row r="1723" spans="1:12" x14ac:dyDescent="0.25">
      <c r="A1723" s="1">
        <v>1724</v>
      </c>
      <c r="B1723" s="1">
        <v>17</v>
      </c>
      <c r="C1723" s="3" t="s">
        <v>4</v>
      </c>
      <c r="D1723" s="5" t="s">
        <v>0</v>
      </c>
      <c r="E1723" s="10">
        <v>9.5500000000000007</v>
      </c>
      <c r="F1723" s="10">
        <v>29.49</v>
      </c>
      <c r="G1723" s="10">
        <v>24.58</v>
      </c>
      <c r="H1723" s="10">
        <v>7.95</v>
      </c>
      <c r="I1723" s="8">
        <f t="shared" si="82"/>
        <v>49.639243499999999</v>
      </c>
      <c r="K1723" s="8">
        <f t="shared" si="85"/>
        <v>172.33352506414744</v>
      </c>
      <c r="L1723" s="8">
        <f t="shared" si="83"/>
        <v>86.166762532073719</v>
      </c>
    </row>
    <row r="1724" spans="1:12" x14ac:dyDescent="0.25">
      <c r="A1724" s="1">
        <v>1725</v>
      </c>
      <c r="B1724" s="1">
        <v>18</v>
      </c>
      <c r="C1724" s="3" t="s">
        <v>4</v>
      </c>
      <c r="D1724" s="5" t="s">
        <v>0</v>
      </c>
      <c r="E1724" s="10">
        <v>8.84</v>
      </c>
      <c r="F1724" s="10">
        <v>25.85</v>
      </c>
      <c r="G1724" s="10">
        <v>21.54</v>
      </c>
      <c r="H1724" s="10">
        <v>5.35</v>
      </c>
      <c r="I1724" s="8">
        <f t="shared" si="82"/>
        <v>22.480111499999996</v>
      </c>
      <c r="K1724" s="8">
        <f t="shared" si="85"/>
        <v>110.2633773749661</v>
      </c>
      <c r="L1724" s="8">
        <f t="shared" si="83"/>
        <v>55.131688687483049</v>
      </c>
    </row>
    <row r="1725" spans="1:12" x14ac:dyDescent="0.25">
      <c r="A1725" s="1">
        <v>1726</v>
      </c>
      <c r="B1725" s="1">
        <v>19</v>
      </c>
      <c r="C1725" s="3" t="s">
        <v>4</v>
      </c>
      <c r="D1725" s="5" t="s">
        <v>0</v>
      </c>
      <c r="E1725" s="10">
        <v>10.36</v>
      </c>
      <c r="F1725" s="10">
        <v>30.95</v>
      </c>
      <c r="G1725" s="10">
        <v>25.8</v>
      </c>
      <c r="H1725" s="10">
        <v>6.85</v>
      </c>
      <c r="I1725" s="8">
        <f t="shared" si="82"/>
        <v>36.852931499999997</v>
      </c>
      <c r="K1725" s="8">
        <f t="shared" si="85"/>
        <v>203.01578279302134</v>
      </c>
      <c r="L1725" s="8">
        <f t="shared" si="83"/>
        <v>101.50789139651067</v>
      </c>
    </row>
    <row r="1726" spans="1:12" x14ac:dyDescent="0.25">
      <c r="A1726" s="1">
        <v>1727</v>
      </c>
      <c r="B1726" s="1">
        <v>20</v>
      </c>
      <c r="C1726" s="3" t="s">
        <v>4</v>
      </c>
      <c r="D1726" s="5" t="s">
        <v>0</v>
      </c>
      <c r="E1726" s="10">
        <v>14.6</v>
      </c>
      <c r="F1726" s="10">
        <v>27.87</v>
      </c>
      <c r="G1726" s="10">
        <v>23.22</v>
      </c>
      <c r="H1726" s="10">
        <v>7.17</v>
      </c>
      <c r="I1726" s="8">
        <f t="shared" si="82"/>
        <v>40.376550059999992</v>
      </c>
      <c r="K1726" s="8">
        <f t="shared" si="85"/>
        <v>142.1529920998122</v>
      </c>
      <c r="L1726" s="8">
        <f t="shared" si="83"/>
        <v>71.076496049906098</v>
      </c>
    </row>
    <row r="1727" spans="1:12" x14ac:dyDescent="0.25">
      <c r="A1727" s="1">
        <v>1728</v>
      </c>
      <c r="B1727" s="1">
        <v>21</v>
      </c>
      <c r="C1727" s="3" t="s">
        <v>4</v>
      </c>
      <c r="D1727" s="5" t="s">
        <v>0</v>
      </c>
      <c r="E1727" s="10">
        <v>32</v>
      </c>
      <c r="F1727" s="10">
        <v>46.31</v>
      </c>
      <c r="G1727" s="10">
        <v>38.590000000000003</v>
      </c>
      <c r="H1727" s="10">
        <v>5.33</v>
      </c>
      <c r="I1727" s="8">
        <f t="shared" si="82"/>
        <v>22.31235006</v>
      </c>
      <c r="K1727" s="8">
        <f t="shared" si="85"/>
        <v>792.45313530896738</v>
      </c>
      <c r="L1727" s="8">
        <f t="shared" si="83"/>
        <v>396.22656765448369</v>
      </c>
    </row>
    <row r="1728" spans="1:12" x14ac:dyDescent="0.25">
      <c r="A1728" s="1">
        <v>1729</v>
      </c>
      <c r="B1728" s="1">
        <v>22</v>
      </c>
      <c r="C1728" s="3" t="s">
        <v>4</v>
      </c>
      <c r="D1728" s="5" t="s">
        <v>0</v>
      </c>
      <c r="E1728" s="10">
        <v>24</v>
      </c>
      <c r="F1728" s="10">
        <v>43.39</v>
      </c>
      <c r="G1728" s="10">
        <v>36.159999999999997</v>
      </c>
      <c r="H1728" s="10">
        <v>7.05</v>
      </c>
      <c r="I1728" s="8">
        <f t="shared" si="82"/>
        <v>39.036343500000001</v>
      </c>
      <c r="K1728" s="8">
        <f t="shared" si="85"/>
        <v>635.96153830764547</v>
      </c>
      <c r="L1728" s="8">
        <f t="shared" si="83"/>
        <v>317.98076915382273</v>
      </c>
    </row>
    <row r="1729" spans="1:13" x14ac:dyDescent="0.25">
      <c r="A1729" s="1">
        <v>1730</v>
      </c>
      <c r="B1729" s="1">
        <v>23</v>
      </c>
      <c r="C1729" s="3" t="s">
        <v>4</v>
      </c>
      <c r="D1729" s="5" t="s">
        <v>0</v>
      </c>
      <c r="E1729" s="10">
        <v>32</v>
      </c>
      <c r="F1729" s="10">
        <v>43.39</v>
      </c>
      <c r="G1729" s="10">
        <v>36.159999999999997</v>
      </c>
      <c r="H1729" s="10">
        <v>7.05</v>
      </c>
      <c r="I1729" s="8">
        <f t="shared" ref="I1729:I1792" si="86">0.7854*H1729^2</f>
        <v>39.036343500000001</v>
      </c>
      <c r="K1729" s="8">
        <f t="shared" si="85"/>
        <v>635.96153830764547</v>
      </c>
      <c r="L1729" s="8">
        <f t="shared" ref="L1729:L1731" si="87">K1729*0.5</f>
        <v>317.98076915382273</v>
      </c>
      <c r="M1729" s="7">
        <f>SUM(L1707:L1729)</f>
        <v>2870.847161699347</v>
      </c>
    </row>
    <row r="1730" spans="1:13" x14ac:dyDescent="0.25">
      <c r="A1730" s="1">
        <v>1731</v>
      </c>
      <c r="B1730" s="1">
        <v>1</v>
      </c>
      <c r="C1730" s="3" t="s">
        <v>7</v>
      </c>
      <c r="D1730" s="5" t="s">
        <v>21</v>
      </c>
      <c r="E1730" s="10">
        <v>4</v>
      </c>
      <c r="F1730" s="10">
        <v>12</v>
      </c>
      <c r="G1730" s="10">
        <v>10</v>
      </c>
      <c r="H1730" s="10">
        <v>5</v>
      </c>
      <c r="I1730" s="8">
        <f t="shared" si="86"/>
        <v>19.634999999999998</v>
      </c>
      <c r="K1730" s="8">
        <f>0.0447*((G1730)^2)*E1730</f>
        <v>17.88</v>
      </c>
      <c r="L1730" s="8">
        <f t="shared" si="87"/>
        <v>8.94</v>
      </c>
    </row>
    <row r="1731" spans="1:13" x14ac:dyDescent="0.25">
      <c r="A1731" s="1">
        <v>1732</v>
      </c>
      <c r="B1731" s="1">
        <v>2</v>
      </c>
      <c r="C1731" s="3" t="s">
        <v>7</v>
      </c>
      <c r="D1731" s="5" t="s">
        <v>21</v>
      </c>
      <c r="E1731" s="10">
        <v>5</v>
      </c>
      <c r="F1731" s="10">
        <v>15</v>
      </c>
      <c r="G1731" s="10">
        <v>12</v>
      </c>
      <c r="H1731" s="10">
        <v>6</v>
      </c>
      <c r="I1731" s="8">
        <f t="shared" si="86"/>
        <v>28.2744</v>
      </c>
      <c r="K1731" s="8">
        <f>0.0447*((G1731)^2)*E1731</f>
        <v>32.183999999999997</v>
      </c>
      <c r="L1731" s="8">
        <f t="shared" si="87"/>
        <v>16.091999999999999</v>
      </c>
      <c r="M1731" s="7">
        <f>SUM(L1730:L1731)</f>
        <v>25.031999999999996</v>
      </c>
    </row>
    <row r="1732" spans="1:13" x14ac:dyDescent="0.25">
      <c r="A1732" s="1">
        <v>1733</v>
      </c>
      <c r="B1732" s="1">
        <v>1</v>
      </c>
      <c r="C1732" s="3" t="s">
        <v>61</v>
      </c>
      <c r="D1732" s="2" t="s">
        <v>44</v>
      </c>
      <c r="E1732" s="10">
        <v>8</v>
      </c>
      <c r="F1732" s="10">
        <v>20</v>
      </c>
      <c r="G1732" s="10">
        <v>18</v>
      </c>
      <c r="H1732" s="10">
        <v>6</v>
      </c>
      <c r="I1732" s="8">
        <f t="shared" si="86"/>
        <v>28.2744</v>
      </c>
      <c r="J1732">
        <v>0.47</v>
      </c>
      <c r="K1732" s="8">
        <f>0.0509*(J1732*G1732*G1732*E1732)</f>
        <v>62.00841599999999</v>
      </c>
      <c r="L1732" s="8">
        <f>K1732*0.5</f>
        <v>31.004207999999995</v>
      </c>
    </row>
    <row r="1733" spans="1:13" x14ac:dyDescent="0.25">
      <c r="A1733" s="1">
        <v>1734</v>
      </c>
      <c r="B1733" s="1">
        <v>2</v>
      </c>
      <c r="C1733" s="3" t="s">
        <v>61</v>
      </c>
      <c r="D1733" s="2" t="s">
        <v>44</v>
      </c>
      <c r="E1733" s="10">
        <v>7</v>
      </c>
      <c r="F1733" s="10">
        <v>16</v>
      </c>
      <c r="G1733" s="10">
        <v>15</v>
      </c>
      <c r="H1733" s="10">
        <v>4</v>
      </c>
      <c r="I1733" s="8">
        <f t="shared" si="86"/>
        <v>12.5664</v>
      </c>
      <c r="J1733">
        <v>0.47</v>
      </c>
      <c r="K1733" s="8">
        <f t="shared" ref="K1733:K1741" si="88">0.0509*(J1733*G1733*G1733*E1733)</f>
        <v>37.678725</v>
      </c>
      <c r="L1733" s="8">
        <f t="shared" ref="L1733:L1744" si="89">K1733*0.5</f>
        <v>18.8393625</v>
      </c>
    </row>
    <row r="1734" spans="1:13" x14ac:dyDescent="0.25">
      <c r="A1734" s="1">
        <v>1735</v>
      </c>
      <c r="B1734" s="1">
        <v>3</v>
      </c>
      <c r="C1734" s="3" t="s">
        <v>61</v>
      </c>
      <c r="D1734" s="2" t="s">
        <v>44</v>
      </c>
      <c r="E1734" s="10">
        <v>1.5</v>
      </c>
      <c r="F1734" s="10">
        <v>8</v>
      </c>
      <c r="G1734" s="10">
        <v>6</v>
      </c>
      <c r="H1734" s="10">
        <v>1.8</v>
      </c>
      <c r="I1734" s="8">
        <f t="shared" si="86"/>
        <v>2.5446960000000001</v>
      </c>
      <c r="J1734">
        <v>0.47</v>
      </c>
      <c r="K1734" s="8">
        <f t="shared" si="88"/>
        <v>1.2918419999999997</v>
      </c>
      <c r="L1734" s="8">
        <f>K1734*0.5</f>
        <v>0.64592099999999986</v>
      </c>
    </row>
    <row r="1735" spans="1:13" x14ac:dyDescent="0.25">
      <c r="A1735" s="1">
        <v>1736</v>
      </c>
      <c r="B1735" s="1">
        <v>4</v>
      </c>
      <c r="C1735" s="3" t="s">
        <v>61</v>
      </c>
      <c r="D1735" s="2" t="s">
        <v>44</v>
      </c>
      <c r="E1735" s="10">
        <v>2.8</v>
      </c>
      <c r="F1735" s="10">
        <v>15</v>
      </c>
      <c r="G1735" s="10">
        <v>12</v>
      </c>
      <c r="H1735" s="10">
        <v>2.5</v>
      </c>
      <c r="I1735" s="8">
        <f t="shared" si="86"/>
        <v>4.9087499999999995</v>
      </c>
      <c r="J1735">
        <v>0.47</v>
      </c>
      <c r="K1735" s="8">
        <f t="shared" si="88"/>
        <v>9.645753599999999</v>
      </c>
      <c r="L1735" s="8">
        <f t="shared" si="89"/>
        <v>4.8228767999999995</v>
      </c>
    </row>
    <row r="1736" spans="1:13" x14ac:dyDescent="0.25">
      <c r="A1736" s="1">
        <v>1737</v>
      </c>
      <c r="B1736" s="1">
        <v>5</v>
      </c>
      <c r="C1736" s="3" t="s">
        <v>61</v>
      </c>
      <c r="D1736" s="2" t="s">
        <v>44</v>
      </c>
      <c r="E1736" s="10">
        <v>3.9</v>
      </c>
      <c r="F1736" s="10">
        <v>18</v>
      </c>
      <c r="G1736" s="10">
        <v>16</v>
      </c>
      <c r="H1736" s="10">
        <v>3.2</v>
      </c>
      <c r="I1736" s="8">
        <f t="shared" si="86"/>
        <v>8.0424960000000016</v>
      </c>
      <c r="J1736">
        <v>0.47</v>
      </c>
      <c r="K1736" s="8">
        <f t="shared" si="88"/>
        <v>23.8847232</v>
      </c>
      <c r="L1736" s="8">
        <f t="shared" si="89"/>
        <v>11.9423616</v>
      </c>
    </row>
    <row r="1737" spans="1:13" x14ac:dyDescent="0.25">
      <c r="A1737" s="1">
        <v>1738</v>
      </c>
      <c r="B1737" s="1">
        <v>6</v>
      </c>
      <c r="C1737" s="3" t="s">
        <v>61</v>
      </c>
      <c r="D1737" s="2" t="s">
        <v>44</v>
      </c>
      <c r="E1737" s="10">
        <v>7</v>
      </c>
      <c r="F1737" s="10">
        <v>30</v>
      </c>
      <c r="G1737" s="10">
        <v>28</v>
      </c>
      <c r="H1737" s="10">
        <v>6</v>
      </c>
      <c r="I1737" s="8">
        <f t="shared" si="86"/>
        <v>28.2744</v>
      </c>
      <c r="J1737">
        <v>0.47</v>
      </c>
      <c r="K1737" s="8">
        <f t="shared" si="88"/>
        <v>131.289424</v>
      </c>
      <c r="L1737" s="8">
        <f t="shared" si="89"/>
        <v>65.644711999999998</v>
      </c>
    </row>
    <row r="1738" spans="1:13" x14ac:dyDescent="0.25">
      <c r="A1738" s="1">
        <v>1739</v>
      </c>
      <c r="B1738" s="1">
        <v>7</v>
      </c>
      <c r="C1738" s="3" t="s">
        <v>61</v>
      </c>
      <c r="D1738" s="2" t="s">
        <v>44</v>
      </c>
      <c r="E1738" s="10">
        <v>2.8</v>
      </c>
      <c r="F1738" s="10">
        <v>6</v>
      </c>
      <c r="G1738" s="10">
        <v>5</v>
      </c>
      <c r="H1738" s="10">
        <v>2.5</v>
      </c>
      <c r="I1738" s="8">
        <f t="shared" si="86"/>
        <v>4.9087499999999995</v>
      </c>
      <c r="J1738">
        <v>0.47</v>
      </c>
      <c r="K1738" s="8">
        <f t="shared" si="88"/>
        <v>1.6746099999999995</v>
      </c>
      <c r="L1738" s="8">
        <f t="shared" si="89"/>
        <v>0.83730499999999974</v>
      </c>
    </row>
    <row r="1739" spans="1:13" x14ac:dyDescent="0.25">
      <c r="A1739" s="1">
        <v>1740</v>
      </c>
      <c r="B1739" s="1">
        <v>8</v>
      </c>
      <c r="C1739" s="3" t="s">
        <v>61</v>
      </c>
      <c r="D1739" s="2" t="s">
        <v>44</v>
      </c>
      <c r="E1739" s="10">
        <v>3.9</v>
      </c>
      <c r="F1739" s="10">
        <v>6</v>
      </c>
      <c r="G1739" s="10">
        <v>4</v>
      </c>
      <c r="H1739" s="10">
        <v>3.2</v>
      </c>
      <c r="I1739" s="8">
        <f t="shared" si="86"/>
        <v>8.0424960000000016</v>
      </c>
      <c r="J1739">
        <v>0.47</v>
      </c>
      <c r="K1739" s="8">
        <f t="shared" si="88"/>
        <v>1.4927952</v>
      </c>
      <c r="L1739" s="8">
        <f t="shared" si="89"/>
        <v>0.74639759999999999</v>
      </c>
    </row>
    <row r="1740" spans="1:13" x14ac:dyDescent="0.25">
      <c r="A1740" s="1">
        <v>1741</v>
      </c>
      <c r="B1740" s="1">
        <v>9</v>
      </c>
      <c r="C1740" s="3" t="s">
        <v>61</v>
      </c>
      <c r="D1740" s="2" t="s">
        <v>44</v>
      </c>
      <c r="E1740" s="10">
        <v>6</v>
      </c>
      <c r="F1740" s="10">
        <v>22</v>
      </c>
      <c r="G1740" s="10">
        <v>18</v>
      </c>
      <c r="H1740" s="10">
        <v>6.54</v>
      </c>
      <c r="I1740" s="8">
        <f t="shared" si="86"/>
        <v>33.59281464</v>
      </c>
      <c r="J1740">
        <v>0.47</v>
      </c>
      <c r="K1740" s="8">
        <f t="shared" si="88"/>
        <v>46.506311999999994</v>
      </c>
      <c r="L1740" s="8">
        <f t="shared" si="89"/>
        <v>23.253155999999997</v>
      </c>
    </row>
    <row r="1741" spans="1:13" x14ac:dyDescent="0.25">
      <c r="A1741" s="1">
        <v>1742</v>
      </c>
      <c r="B1741" s="1">
        <v>10</v>
      </c>
      <c r="C1741" s="3" t="s">
        <v>61</v>
      </c>
      <c r="D1741" s="2" t="s">
        <v>44</v>
      </c>
      <c r="E1741" s="10">
        <v>3</v>
      </c>
      <c r="F1741" s="10">
        <v>13</v>
      </c>
      <c r="G1741" s="10">
        <v>9</v>
      </c>
      <c r="H1741" s="10">
        <v>4</v>
      </c>
      <c r="I1741" s="8">
        <f>0.7854*H1741^2</f>
        <v>12.5664</v>
      </c>
      <c r="J1741">
        <v>0.47</v>
      </c>
      <c r="K1741" s="8">
        <f t="shared" si="88"/>
        <v>5.8132889999999993</v>
      </c>
      <c r="L1741" s="8">
        <f t="shared" si="89"/>
        <v>2.9066444999999996</v>
      </c>
      <c r="M1741" s="7">
        <f>SUM(L1732:L1741)</f>
        <v>160.64294499999997</v>
      </c>
    </row>
    <row r="1742" spans="1:13" x14ac:dyDescent="0.25">
      <c r="A1742" s="1">
        <v>1743</v>
      </c>
      <c r="B1742" s="1">
        <v>1</v>
      </c>
      <c r="C1742" s="3" t="s">
        <v>60</v>
      </c>
      <c r="D1742" s="4" t="s">
        <v>43</v>
      </c>
      <c r="E1742" s="10">
        <v>2</v>
      </c>
      <c r="F1742" s="10">
        <v>21</v>
      </c>
      <c r="G1742" s="10">
        <v>19</v>
      </c>
      <c r="H1742" s="10">
        <v>4</v>
      </c>
      <c r="I1742" s="8">
        <f t="shared" ref="I1742:I1743" si="90">0.7854*H1742^2</f>
        <v>12.5664</v>
      </c>
      <c r="K1742" s="8">
        <f>EXP(-1.716)*G1742^2.413</f>
        <v>218.96923855438214</v>
      </c>
      <c r="L1742" s="8">
        <f t="shared" si="89"/>
        <v>109.48461927719107</v>
      </c>
    </row>
    <row r="1743" spans="1:13" x14ac:dyDescent="0.25">
      <c r="A1743" s="1">
        <v>1744</v>
      </c>
      <c r="B1743" s="1">
        <v>2</v>
      </c>
      <c r="C1743" s="3" t="s">
        <v>60</v>
      </c>
      <c r="D1743" s="4" t="s">
        <v>43</v>
      </c>
      <c r="E1743" s="10">
        <v>2.5</v>
      </c>
      <c r="F1743" s="10">
        <v>18</v>
      </c>
      <c r="G1743" s="10">
        <v>16</v>
      </c>
      <c r="H1743" s="10">
        <v>2</v>
      </c>
      <c r="I1743" s="8">
        <f t="shared" si="90"/>
        <v>3.1415999999999999</v>
      </c>
      <c r="K1743" s="8">
        <f>EXP(-1.716)*G1743^2.413</f>
        <v>144.64125694452315</v>
      </c>
      <c r="L1743" s="8">
        <f t="shared" si="89"/>
        <v>72.320628472261575</v>
      </c>
      <c r="M1743" s="7">
        <f>SUM(L1742:L1743)</f>
        <v>181.80524774945263</v>
      </c>
    </row>
    <row r="1744" spans="1:13" x14ac:dyDescent="0.25">
      <c r="A1744" s="1">
        <v>1745</v>
      </c>
      <c r="B1744" s="1">
        <v>1</v>
      </c>
      <c r="C1744" s="3" t="s">
        <v>56</v>
      </c>
      <c r="D1744" s="4" t="s">
        <v>35</v>
      </c>
      <c r="E1744" s="13">
        <v>12.38</v>
      </c>
      <c r="F1744" s="13">
        <v>20</v>
      </c>
      <c r="G1744" s="10">
        <v>18</v>
      </c>
      <c r="H1744" s="10">
        <v>8</v>
      </c>
      <c r="I1744" s="8">
        <f>0.7854*H1744^2</f>
        <v>50.265599999999999</v>
      </c>
      <c r="K1744" s="8">
        <f>4.5+7.7*(E1744)</f>
        <v>99.826000000000008</v>
      </c>
      <c r="L1744" s="8">
        <f t="shared" si="89"/>
        <v>49.913000000000004</v>
      </c>
    </row>
    <row r="1745" spans="1:13" x14ac:dyDescent="0.25">
      <c r="A1745" s="1">
        <v>1746</v>
      </c>
      <c r="B1745" s="1">
        <v>2</v>
      </c>
      <c r="C1745" s="3" t="s">
        <v>56</v>
      </c>
      <c r="D1745" s="4" t="s">
        <v>35</v>
      </c>
      <c r="E1745" s="13">
        <v>18.82</v>
      </c>
      <c r="F1745" s="13">
        <v>28</v>
      </c>
      <c r="G1745" s="10">
        <v>22</v>
      </c>
      <c r="H1745" s="10">
        <v>6</v>
      </c>
      <c r="I1745" s="8">
        <f t="shared" si="86"/>
        <v>28.2744</v>
      </c>
      <c r="K1745" s="8">
        <f>4.5+7.7*(E1745)</f>
        <v>149.41400000000002</v>
      </c>
      <c r="L1745" s="8">
        <f t="shared" ref="L1745:L1757" si="91">K1745*0.5</f>
        <v>74.707000000000008</v>
      </c>
    </row>
    <row r="1746" spans="1:13" x14ac:dyDescent="0.25">
      <c r="A1746" s="1">
        <v>1747</v>
      </c>
      <c r="B1746" s="1">
        <v>3</v>
      </c>
      <c r="C1746" s="3" t="s">
        <v>56</v>
      </c>
      <c r="D1746" s="4" t="s">
        <v>35</v>
      </c>
      <c r="E1746" s="13">
        <v>12.13</v>
      </c>
      <c r="F1746" s="13">
        <v>18</v>
      </c>
      <c r="G1746" s="10">
        <v>15</v>
      </c>
      <c r="H1746" s="10">
        <v>6</v>
      </c>
      <c r="I1746" s="8">
        <f t="shared" si="86"/>
        <v>28.2744</v>
      </c>
      <c r="K1746" s="8">
        <f t="shared" ref="K1746:K1757" si="92">4.5+7.7*(E1746)</f>
        <v>97.90100000000001</v>
      </c>
      <c r="L1746" s="8">
        <f t="shared" si="91"/>
        <v>48.950500000000005</v>
      </c>
    </row>
    <row r="1747" spans="1:13" x14ac:dyDescent="0.25">
      <c r="A1747" s="1">
        <v>1748</v>
      </c>
      <c r="B1747" s="1">
        <v>4</v>
      </c>
      <c r="C1747" s="3" t="s">
        <v>56</v>
      </c>
      <c r="D1747" s="4" t="s">
        <v>35</v>
      </c>
      <c r="E1747" s="13">
        <v>24.45</v>
      </c>
      <c r="F1747" s="13">
        <v>40</v>
      </c>
      <c r="G1747" s="10">
        <v>32</v>
      </c>
      <c r="H1747" s="10">
        <v>6</v>
      </c>
      <c r="I1747" s="8">
        <f t="shared" si="86"/>
        <v>28.2744</v>
      </c>
      <c r="K1747" s="8">
        <f t="shared" si="92"/>
        <v>192.76499999999999</v>
      </c>
      <c r="L1747" s="8">
        <f t="shared" si="91"/>
        <v>96.382499999999993</v>
      </c>
    </row>
    <row r="1748" spans="1:13" x14ac:dyDescent="0.25">
      <c r="A1748" s="1">
        <v>1749</v>
      </c>
      <c r="B1748" s="1">
        <v>5</v>
      </c>
      <c r="C1748" s="3" t="s">
        <v>56</v>
      </c>
      <c r="D1748" s="4" t="s">
        <v>35</v>
      </c>
      <c r="E1748" s="13">
        <v>17.25</v>
      </c>
      <c r="F1748" s="13">
        <v>28</v>
      </c>
      <c r="G1748" s="10">
        <v>23</v>
      </c>
      <c r="H1748" s="10">
        <v>4</v>
      </c>
      <c r="I1748" s="8">
        <f t="shared" si="86"/>
        <v>12.5664</v>
      </c>
      <c r="K1748" s="8">
        <f t="shared" si="92"/>
        <v>137.32500000000002</v>
      </c>
      <c r="L1748" s="8">
        <f t="shared" si="91"/>
        <v>68.662500000000009</v>
      </c>
    </row>
    <row r="1749" spans="1:13" x14ac:dyDescent="0.25">
      <c r="A1749" s="1">
        <v>1750</v>
      </c>
      <c r="B1749" s="1">
        <v>6</v>
      </c>
      <c r="C1749" s="3" t="s">
        <v>56</v>
      </c>
      <c r="D1749" s="4" t="s">
        <v>35</v>
      </c>
      <c r="E1749" s="13">
        <v>12.49</v>
      </c>
      <c r="F1749" s="13">
        <v>21</v>
      </c>
      <c r="G1749" s="10">
        <v>16</v>
      </c>
      <c r="H1749" s="10">
        <v>4</v>
      </c>
      <c r="I1749" s="8">
        <f t="shared" si="86"/>
        <v>12.5664</v>
      </c>
      <c r="K1749" s="8">
        <f>4.5+7.7*(E1749)</f>
        <v>100.673</v>
      </c>
      <c r="L1749" s="8">
        <f t="shared" si="91"/>
        <v>50.336500000000001</v>
      </c>
    </row>
    <row r="1750" spans="1:13" x14ac:dyDescent="0.25">
      <c r="A1750" s="1">
        <v>1751</v>
      </c>
      <c r="B1750" s="1">
        <v>7</v>
      </c>
      <c r="C1750" s="3" t="s">
        <v>56</v>
      </c>
      <c r="D1750" s="4" t="s">
        <v>35</v>
      </c>
      <c r="E1750" s="13">
        <v>1.2</v>
      </c>
      <c r="F1750" s="13">
        <v>5.4</v>
      </c>
      <c r="G1750" s="13">
        <v>4.8</v>
      </c>
      <c r="H1750" s="13">
        <v>2.5</v>
      </c>
      <c r="I1750" s="8">
        <f t="shared" si="86"/>
        <v>4.9087499999999995</v>
      </c>
      <c r="K1750" s="8">
        <f>4.5+7.7*(E1750)</f>
        <v>13.74</v>
      </c>
      <c r="L1750" s="8">
        <f t="shared" si="91"/>
        <v>6.87</v>
      </c>
    </row>
    <row r="1751" spans="1:13" x14ac:dyDescent="0.25">
      <c r="A1751" s="1">
        <v>1752</v>
      </c>
      <c r="B1751" s="1">
        <v>8</v>
      </c>
      <c r="C1751" s="3" t="s">
        <v>56</v>
      </c>
      <c r="D1751" s="4" t="s">
        <v>35</v>
      </c>
      <c r="E1751" s="13">
        <v>1.5</v>
      </c>
      <c r="F1751" s="13">
        <v>6.1</v>
      </c>
      <c r="G1751" s="13">
        <v>5.2</v>
      </c>
      <c r="H1751" s="13">
        <v>2.8</v>
      </c>
      <c r="I1751" s="8">
        <f t="shared" si="86"/>
        <v>6.1575359999999995</v>
      </c>
      <c r="K1751" s="8">
        <f t="shared" ref="K1751:K1756" si="93">4.5+7.7*(E1751)</f>
        <v>16.05</v>
      </c>
      <c r="L1751" s="8">
        <f t="shared" si="91"/>
        <v>8.0250000000000004</v>
      </c>
    </row>
    <row r="1752" spans="1:13" x14ac:dyDescent="0.25">
      <c r="A1752" s="1">
        <v>1753</v>
      </c>
      <c r="B1752" s="1">
        <v>9</v>
      </c>
      <c r="C1752" s="3" t="s">
        <v>56</v>
      </c>
      <c r="D1752" s="4" t="s">
        <v>35</v>
      </c>
      <c r="E1752" s="13">
        <v>1.8</v>
      </c>
      <c r="F1752" s="13">
        <v>7</v>
      </c>
      <c r="G1752" s="13">
        <v>6</v>
      </c>
      <c r="H1752" s="13">
        <v>3</v>
      </c>
      <c r="I1752" s="8">
        <f t="shared" si="86"/>
        <v>7.0686</v>
      </c>
      <c r="K1752" s="8">
        <f t="shared" si="93"/>
        <v>18.36</v>
      </c>
      <c r="L1752" s="8">
        <f t="shared" si="91"/>
        <v>9.18</v>
      </c>
    </row>
    <row r="1753" spans="1:13" x14ac:dyDescent="0.25">
      <c r="A1753" s="1">
        <v>1754</v>
      </c>
      <c r="B1753" s="1">
        <v>10</v>
      </c>
      <c r="C1753" s="3" t="s">
        <v>56</v>
      </c>
      <c r="D1753" s="4" t="s">
        <v>35</v>
      </c>
      <c r="E1753" s="13">
        <v>2</v>
      </c>
      <c r="F1753" s="13">
        <v>7.5</v>
      </c>
      <c r="G1753" s="13">
        <v>6.5</v>
      </c>
      <c r="H1753" s="13">
        <v>3.2</v>
      </c>
      <c r="I1753" s="8">
        <f t="shared" si="86"/>
        <v>8.0424960000000016</v>
      </c>
      <c r="K1753" s="8">
        <f t="shared" si="93"/>
        <v>19.899999999999999</v>
      </c>
      <c r="L1753" s="8">
        <f t="shared" si="91"/>
        <v>9.9499999999999993</v>
      </c>
    </row>
    <row r="1754" spans="1:13" x14ac:dyDescent="0.25">
      <c r="A1754" s="1">
        <v>1755</v>
      </c>
      <c r="B1754" s="1">
        <v>11</v>
      </c>
      <c r="C1754" s="3" t="s">
        <v>56</v>
      </c>
      <c r="D1754" s="4" t="s">
        <v>35</v>
      </c>
      <c r="E1754" s="13">
        <v>2.2999999999999998</v>
      </c>
      <c r="F1754" s="13">
        <v>8.1999999999999993</v>
      </c>
      <c r="G1754" s="13">
        <v>7</v>
      </c>
      <c r="H1754" s="13">
        <v>3.5</v>
      </c>
      <c r="I1754" s="8">
        <f t="shared" si="86"/>
        <v>9.6211500000000001</v>
      </c>
      <c r="K1754" s="8">
        <f t="shared" si="93"/>
        <v>22.209999999999997</v>
      </c>
      <c r="L1754" s="8">
        <f t="shared" si="91"/>
        <v>11.104999999999999</v>
      </c>
    </row>
    <row r="1755" spans="1:13" x14ac:dyDescent="0.25">
      <c r="A1755" s="1">
        <v>1756</v>
      </c>
      <c r="B1755" s="1">
        <v>12</v>
      </c>
      <c r="C1755" s="3" t="s">
        <v>56</v>
      </c>
      <c r="D1755" s="4" t="s">
        <v>35</v>
      </c>
      <c r="E1755" s="13">
        <v>2.7</v>
      </c>
      <c r="F1755" s="13">
        <v>9</v>
      </c>
      <c r="G1755" s="13">
        <v>7.8</v>
      </c>
      <c r="H1755" s="13">
        <v>3.8</v>
      </c>
      <c r="I1755" s="8">
        <f t="shared" si="86"/>
        <v>11.341175999999999</v>
      </c>
      <c r="K1755" s="8">
        <f t="shared" si="93"/>
        <v>25.290000000000003</v>
      </c>
      <c r="L1755" s="8">
        <f t="shared" si="91"/>
        <v>12.645000000000001</v>
      </c>
    </row>
    <row r="1756" spans="1:13" x14ac:dyDescent="0.25">
      <c r="A1756" s="1">
        <v>1757</v>
      </c>
      <c r="B1756" s="1">
        <v>13</v>
      </c>
      <c r="C1756" s="3" t="s">
        <v>56</v>
      </c>
      <c r="D1756" s="4" t="s">
        <v>35</v>
      </c>
      <c r="E1756" s="13">
        <v>3</v>
      </c>
      <c r="F1756" s="13">
        <v>9.8000000000000007</v>
      </c>
      <c r="G1756" s="13">
        <v>8.5</v>
      </c>
      <c r="H1756" s="13">
        <v>4</v>
      </c>
      <c r="I1756" s="8">
        <f t="shared" si="86"/>
        <v>12.5664</v>
      </c>
      <c r="K1756" s="8">
        <f t="shared" si="93"/>
        <v>27.6</v>
      </c>
      <c r="L1756" s="8">
        <f t="shared" si="91"/>
        <v>13.8</v>
      </c>
    </row>
    <row r="1757" spans="1:13" x14ac:dyDescent="0.25">
      <c r="A1757" s="1">
        <v>1758</v>
      </c>
      <c r="B1757" s="1">
        <v>14</v>
      </c>
      <c r="C1757" s="3" t="s">
        <v>56</v>
      </c>
      <c r="D1757" s="4" t="s">
        <v>35</v>
      </c>
      <c r="E1757" s="10">
        <v>4</v>
      </c>
      <c r="F1757" s="10">
        <v>10</v>
      </c>
      <c r="G1757" s="10">
        <v>7</v>
      </c>
      <c r="H1757" s="10">
        <v>5</v>
      </c>
      <c r="I1757" s="8">
        <f t="shared" si="86"/>
        <v>19.634999999999998</v>
      </c>
      <c r="K1757" s="8">
        <f t="shared" si="92"/>
        <v>35.299999999999997</v>
      </c>
      <c r="L1757" s="8">
        <f t="shared" si="91"/>
        <v>17.649999999999999</v>
      </c>
    </row>
    <row r="1758" spans="1:13" x14ac:dyDescent="0.25">
      <c r="A1758" s="1">
        <v>1759</v>
      </c>
      <c r="B1758" s="1">
        <v>15</v>
      </c>
      <c r="C1758" s="3" t="s">
        <v>56</v>
      </c>
      <c r="D1758" s="4" t="s">
        <v>35</v>
      </c>
      <c r="E1758" s="10">
        <v>1</v>
      </c>
      <c r="F1758" s="10">
        <v>5</v>
      </c>
      <c r="G1758" s="10">
        <v>4</v>
      </c>
      <c r="H1758" s="10">
        <v>1.5</v>
      </c>
      <c r="I1758" s="8">
        <f t="shared" si="86"/>
        <v>1.76715</v>
      </c>
      <c r="K1758" s="8">
        <f t="shared" ref="K1758" si="94">4.5+7.7*(E1758)</f>
        <v>12.2</v>
      </c>
      <c r="L1758" s="8">
        <f t="shared" ref="L1758:L1792" si="95">K1758*0.5</f>
        <v>6.1</v>
      </c>
      <c r="M1758" s="7">
        <f>SUM(L1744:L1757)</f>
        <v>478.17699999999996</v>
      </c>
    </row>
    <row r="1759" spans="1:13" x14ac:dyDescent="0.25">
      <c r="A1759" s="1">
        <v>1760</v>
      </c>
      <c r="B1759" s="1">
        <v>1</v>
      </c>
      <c r="C1759" s="3" t="s">
        <v>47</v>
      </c>
      <c r="D1759" s="5" t="s">
        <v>16</v>
      </c>
      <c r="E1759" s="10">
        <v>3.2</v>
      </c>
      <c r="F1759" s="10">
        <v>7.5</v>
      </c>
      <c r="G1759" s="10">
        <v>6.8</v>
      </c>
      <c r="H1759" s="10">
        <v>2.8</v>
      </c>
      <c r="I1759" s="8">
        <f t="shared" si="86"/>
        <v>6.1575359999999995</v>
      </c>
      <c r="K1759" s="8">
        <f>EXP(-1.76)*G1759^2.26</f>
        <v>13.095191523263056</v>
      </c>
      <c r="L1759" s="8">
        <f t="shared" si="95"/>
        <v>6.5475957616315279</v>
      </c>
    </row>
    <row r="1760" spans="1:13" x14ac:dyDescent="0.25">
      <c r="A1760" s="1">
        <v>1761</v>
      </c>
      <c r="B1760" s="1">
        <v>2</v>
      </c>
      <c r="C1760" s="3" t="s">
        <v>47</v>
      </c>
      <c r="D1760" s="5" t="s">
        <v>16</v>
      </c>
      <c r="E1760" s="10">
        <v>3.5</v>
      </c>
      <c r="F1760" s="10">
        <v>8</v>
      </c>
      <c r="G1760" s="10">
        <v>7.2</v>
      </c>
      <c r="H1760" s="10">
        <v>3</v>
      </c>
      <c r="I1760" s="8">
        <f t="shared" si="86"/>
        <v>7.0686</v>
      </c>
      <c r="K1760" s="8">
        <f t="shared" ref="K1760" si="96">EXP(-1.76)*G1760^2.26</f>
        <v>14.900922425840577</v>
      </c>
      <c r="L1760" s="8">
        <f t="shared" si="95"/>
        <v>7.4504612129202883</v>
      </c>
    </row>
    <row r="1761" spans="1:13" x14ac:dyDescent="0.25">
      <c r="A1761" s="1">
        <v>1762</v>
      </c>
      <c r="B1761" s="1">
        <v>3</v>
      </c>
      <c r="C1761" s="3" t="s">
        <v>47</v>
      </c>
      <c r="D1761" s="5" t="s">
        <v>16</v>
      </c>
      <c r="E1761" s="10">
        <v>3.8</v>
      </c>
      <c r="F1761" s="10">
        <v>8.3000000000000007</v>
      </c>
      <c r="G1761" s="10">
        <v>7.5</v>
      </c>
      <c r="H1761" s="10">
        <v>3.1</v>
      </c>
      <c r="I1761" s="8">
        <f t="shared" si="86"/>
        <v>7.5476940000000008</v>
      </c>
      <c r="K1761" s="8">
        <f>EXP(-1.76)*G1761^2.26</f>
        <v>16.341057836716626</v>
      </c>
      <c r="L1761" s="8">
        <f t="shared" si="95"/>
        <v>8.170528918358313</v>
      </c>
    </row>
    <row r="1762" spans="1:13" x14ac:dyDescent="0.25">
      <c r="A1762" s="1">
        <v>1763</v>
      </c>
      <c r="B1762" s="1">
        <v>4</v>
      </c>
      <c r="C1762" s="3" t="s">
        <v>47</v>
      </c>
      <c r="D1762" s="5" t="s">
        <v>16</v>
      </c>
      <c r="E1762" s="10">
        <v>4</v>
      </c>
      <c r="F1762" s="10">
        <v>8.6999999999999993</v>
      </c>
      <c r="G1762" s="10">
        <v>8</v>
      </c>
      <c r="H1762" s="10">
        <v>3.3</v>
      </c>
      <c r="I1762" s="8">
        <f t="shared" si="86"/>
        <v>8.5530059999999981</v>
      </c>
      <c r="K1762" s="8">
        <f t="shared" ref="K1762:K1770" si="97">EXP(-1.76)*G1762^2.26</f>
        <v>18.90710702017423</v>
      </c>
      <c r="L1762" s="8">
        <f t="shared" si="95"/>
        <v>9.4535535100871151</v>
      </c>
    </row>
    <row r="1763" spans="1:13" x14ac:dyDescent="0.25">
      <c r="A1763" s="1">
        <v>1764</v>
      </c>
      <c r="B1763" s="1">
        <v>5</v>
      </c>
      <c r="C1763" s="3" t="s">
        <v>47</v>
      </c>
      <c r="D1763" s="5" t="s">
        <v>16</v>
      </c>
      <c r="E1763" s="10">
        <v>4.3</v>
      </c>
      <c r="F1763" s="10">
        <v>9.1999999999999993</v>
      </c>
      <c r="G1763" s="10">
        <v>8.5</v>
      </c>
      <c r="H1763" s="10">
        <v>3.5</v>
      </c>
      <c r="I1763" s="8">
        <f t="shared" si="86"/>
        <v>9.6211500000000001</v>
      </c>
      <c r="K1763" s="8">
        <f t="shared" si="97"/>
        <v>21.683455046803733</v>
      </c>
      <c r="L1763" s="8">
        <f t="shared" si="95"/>
        <v>10.841727523401866</v>
      </c>
    </row>
    <row r="1764" spans="1:13" x14ac:dyDescent="0.25">
      <c r="A1764" s="1">
        <v>1765</v>
      </c>
      <c r="B1764" s="1">
        <v>6</v>
      </c>
      <c r="C1764" s="3" t="s">
        <v>47</v>
      </c>
      <c r="D1764" s="5" t="s">
        <v>16</v>
      </c>
      <c r="E1764" s="10">
        <v>4.5</v>
      </c>
      <c r="F1764" s="10">
        <v>9.8000000000000007</v>
      </c>
      <c r="G1764" s="10">
        <v>9</v>
      </c>
      <c r="H1764" s="10">
        <v>3.7</v>
      </c>
      <c r="I1764" s="8">
        <f t="shared" si="86"/>
        <v>10.752126000000001</v>
      </c>
      <c r="K1764" s="8">
        <f t="shared" si="97"/>
        <v>24.673444523712718</v>
      </c>
      <c r="L1764" s="8">
        <f t="shared" si="95"/>
        <v>12.336722261856359</v>
      </c>
    </row>
    <row r="1765" spans="1:13" x14ac:dyDescent="0.25">
      <c r="A1765" s="1">
        <v>1766</v>
      </c>
      <c r="B1765" s="1">
        <v>7</v>
      </c>
      <c r="C1765" s="3" t="s">
        <v>47</v>
      </c>
      <c r="D1765" s="5" t="s">
        <v>16</v>
      </c>
      <c r="E1765" s="10">
        <v>4.8</v>
      </c>
      <c r="F1765" s="10">
        <v>10.199999999999999</v>
      </c>
      <c r="G1765" s="10">
        <v>9.5</v>
      </c>
      <c r="H1765" s="10">
        <v>3.9</v>
      </c>
      <c r="I1765" s="8">
        <f t="shared" si="86"/>
        <v>11.945933999999999</v>
      </c>
      <c r="K1765" s="8">
        <f t="shared" si="97"/>
        <v>27.880275426719429</v>
      </c>
      <c r="L1765" s="8">
        <f t="shared" si="95"/>
        <v>13.940137713359714</v>
      </c>
    </row>
    <row r="1766" spans="1:13" x14ac:dyDescent="0.25">
      <c r="A1766" s="1">
        <v>1767</v>
      </c>
      <c r="B1766" s="1">
        <v>8</v>
      </c>
      <c r="C1766" s="3" t="s">
        <v>47</v>
      </c>
      <c r="D1766" s="5" t="s">
        <v>16</v>
      </c>
      <c r="E1766" s="10">
        <v>5</v>
      </c>
      <c r="F1766" s="10">
        <v>10.5</v>
      </c>
      <c r="G1766" s="10">
        <v>10</v>
      </c>
      <c r="H1766" s="10">
        <v>4</v>
      </c>
      <c r="I1766" s="8">
        <f t="shared" si="86"/>
        <v>12.5664</v>
      </c>
      <c r="K1766" s="8">
        <f t="shared" si="97"/>
        <v>31.307018641824264</v>
      </c>
      <c r="L1766" s="8">
        <f t="shared" si="95"/>
        <v>15.653509320912132</v>
      </c>
    </row>
    <row r="1767" spans="1:13" x14ac:dyDescent="0.25">
      <c r="A1767" s="1">
        <v>1768</v>
      </c>
      <c r="B1767" s="1">
        <v>9</v>
      </c>
      <c r="C1767" s="3" t="s">
        <v>47</v>
      </c>
      <c r="D1767" s="5" t="s">
        <v>16</v>
      </c>
      <c r="E1767" s="10">
        <v>5.2</v>
      </c>
      <c r="F1767" s="10">
        <v>11</v>
      </c>
      <c r="G1767" s="10">
        <v>10.5</v>
      </c>
      <c r="H1767" s="10">
        <v>4.2</v>
      </c>
      <c r="I1767" s="8">
        <f t="shared" si="86"/>
        <v>13.854456000000001</v>
      </c>
      <c r="K1767" s="8">
        <f t="shared" si="97"/>
        <v>34.956627585528608</v>
      </c>
      <c r="L1767" s="8">
        <f t="shared" si="95"/>
        <v>17.478313792764304</v>
      </c>
    </row>
    <row r="1768" spans="1:13" x14ac:dyDescent="0.25">
      <c r="A1768" s="1">
        <v>1769</v>
      </c>
      <c r="B1768" s="1">
        <v>10</v>
      </c>
      <c r="C1768" s="3" t="s">
        <v>47</v>
      </c>
      <c r="D1768" s="5" t="s">
        <v>16</v>
      </c>
      <c r="E1768" s="10">
        <v>5.5</v>
      </c>
      <c r="F1768" s="10">
        <v>11.5</v>
      </c>
      <c r="G1768" s="10">
        <v>11</v>
      </c>
      <c r="H1768" s="10">
        <v>4.5</v>
      </c>
      <c r="I1768" s="8">
        <f t="shared" si="86"/>
        <v>15.904349999999999</v>
      </c>
      <c r="K1768" s="8">
        <f t="shared" si="97"/>
        <v>38.831948257950515</v>
      </c>
      <c r="L1768" s="8">
        <f t="shared" si="95"/>
        <v>19.415974128975257</v>
      </c>
    </row>
    <row r="1769" spans="1:13" x14ac:dyDescent="0.25">
      <c r="A1769" s="1">
        <v>1770</v>
      </c>
      <c r="B1769" s="1">
        <v>11</v>
      </c>
      <c r="C1769" s="3" t="s">
        <v>47</v>
      </c>
      <c r="D1769" s="5" t="s">
        <v>16</v>
      </c>
      <c r="E1769" s="10">
        <v>5.8</v>
      </c>
      <c r="F1769" s="10">
        <v>12</v>
      </c>
      <c r="G1769" s="10">
        <v>11.5</v>
      </c>
      <c r="H1769" s="10">
        <v>4.8</v>
      </c>
      <c r="I1769" s="8">
        <f t="shared" si="86"/>
        <v>18.095616</v>
      </c>
      <c r="K1769" s="8">
        <f t="shared" si="97"/>
        <v>42.935728003872256</v>
      </c>
      <c r="L1769" s="8">
        <f t="shared" si="95"/>
        <v>21.467864001936128</v>
      </c>
    </row>
    <row r="1770" spans="1:13" x14ac:dyDescent="0.25">
      <c r="A1770" s="1">
        <v>1771</v>
      </c>
      <c r="B1770" s="1">
        <v>12</v>
      </c>
      <c r="C1770" s="3" t="s">
        <v>47</v>
      </c>
      <c r="D1770" s="5" t="s">
        <v>16</v>
      </c>
      <c r="E1770" s="10">
        <v>6</v>
      </c>
      <c r="F1770" s="10">
        <v>12.5</v>
      </c>
      <c r="G1770" s="10">
        <v>12</v>
      </c>
      <c r="H1770" s="10">
        <v>5</v>
      </c>
      <c r="I1770" s="8">
        <f t="shared" si="86"/>
        <v>19.634999999999998</v>
      </c>
      <c r="K1770" s="8">
        <f t="shared" si="97"/>
        <v>47.270623198350819</v>
      </c>
      <c r="L1770" s="8">
        <f t="shared" si="95"/>
        <v>23.635311599175409</v>
      </c>
      <c r="M1770" s="7">
        <f>SUM(L1759:L1770)</f>
        <v>166.39169974537845</v>
      </c>
    </row>
    <row r="1771" spans="1:13" x14ac:dyDescent="0.25">
      <c r="A1771" s="1">
        <v>1772</v>
      </c>
      <c r="B1771" s="1">
        <v>1</v>
      </c>
      <c r="C1771" s="3" t="s">
        <v>51</v>
      </c>
      <c r="D1771" s="5" t="s">
        <v>28</v>
      </c>
      <c r="E1771" s="14">
        <v>4.5</v>
      </c>
      <c r="F1771" s="14">
        <v>12.3</v>
      </c>
      <c r="G1771" s="14">
        <v>15.2</v>
      </c>
      <c r="H1771" s="14">
        <v>3.5</v>
      </c>
      <c r="I1771" s="8">
        <f t="shared" si="86"/>
        <v>9.6211500000000001</v>
      </c>
      <c r="K1771" s="8">
        <f xml:space="preserve"> 0.246689*(G1771)^2.24992</f>
        <v>112.51315678689042</v>
      </c>
      <c r="L1771" s="8">
        <f t="shared" si="95"/>
        <v>56.25657839344521</v>
      </c>
    </row>
    <row r="1772" spans="1:13" x14ac:dyDescent="0.25">
      <c r="A1772" s="1">
        <v>1773</v>
      </c>
      <c r="B1772" s="1">
        <v>2</v>
      </c>
      <c r="C1772" s="3" t="s">
        <v>51</v>
      </c>
      <c r="D1772" s="5" t="s">
        <v>28</v>
      </c>
      <c r="E1772" s="14">
        <v>5</v>
      </c>
      <c r="F1772" s="14">
        <v>14.1</v>
      </c>
      <c r="G1772" s="14">
        <v>17.3</v>
      </c>
      <c r="H1772" s="14">
        <v>4</v>
      </c>
      <c r="I1772" s="8">
        <f t="shared" si="86"/>
        <v>12.5664</v>
      </c>
      <c r="K1772" s="8">
        <f t="shared" ref="K1772:K1778" si="98" xml:space="preserve"> 0.246689*(G1772)^2.24992</f>
        <v>150.54088777415927</v>
      </c>
      <c r="L1772" s="8">
        <f t="shared" si="95"/>
        <v>75.270443887079637</v>
      </c>
    </row>
    <row r="1773" spans="1:13" x14ac:dyDescent="0.25">
      <c r="A1773" s="1">
        <v>1774</v>
      </c>
      <c r="B1773" s="1">
        <v>3</v>
      </c>
      <c r="C1773" s="3" t="s">
        <v>51</v>
      </c>
      <c r="D1773" s="5" t="s">
        <v>28</v>
      </c>
      <c r="E1773" s="14">
        <v>4.8</v>
      </c>
      <c r="F1773" s="14">
        <v>13.6</v>
      </c>
      <c r="G1773" s="14">
        <v>16.100000000000001</v>
      </c>
      <c r="H1773" s="14">
        <v>3.8</v>
      </c>
      <c r="I1773" s="8">
        <f t="shared" si="86"/>
        <v>11.341175999999999</v>
      </c>
      <c r="K1773" s="8">
        <f t="shared" si="98"/>
        <v>128.05939905885623</v>
      </c>
      <c r="L1773" s="8">
        <f t="shared" si="95"/>
        <v>64.029699529428115</v>
      </c>
    </row>
    <row r="1774" spans="1:13" x14ac:dyDescent="0.25">
      <c r="A1774" s="1">
        <v>1775</v>
      </c>
      <c r="B1774" s="1">
        <v>4</v>
      </c>
      <c r="C1774" s="3" t="s">
        <v>51</v>
      </c>
      <c r="D1774" s="5" t="s">
        <v>28</v>
      </c>
      <c r="E1774" s="14">
        <v>5.2</v>
      </c>
      <c r="F1774" s="14">
        <v>15</v>
      </c>
      <c r="G1774" s="14">
        <v>18</v>
      </c>
      <c r="H1774" s="14">
        <v>4.2</v>
      </c>
      <c r="I1774" s="8">
        <f t="shared" si="86"/>
        <v>13.854456000000001</v>
      </c>
      <c r="K1774" s="8">
        <f t="shared" si="98"/>
        <v>164.5934313191629</v>
      </c>
      <c r="L1774" s="8">
        <f t="shared" si="95"/>
        <v>82.296715659581452</v>
      </c>
    </row>
    <row r="1775" spans="1:13" x14ac:dyDescent="0.25">
      <c r="A1775" s="1">
        <v>1776</v>
      </c>
      <c r="B1775" s="1">
        <v>5</v>
      </c>
      <c r="C1775" s="3" t="s">
        <v>51</v>
      </c>
      <c r="D1775" s="5" t="s">
        <v>28</v>
      </c>
      <c r="E1775" s="14">
        <v>3.2</v>
      </c>
      <c r="F1775" s="14">
        <v>7.5</v>
      </c>
      <c r="G1775" s="14">
        <v>9</v>
      </c>
      <c r="H1775" s="14">
        <v>2.5</v>
      </c>
      <c r="I1775" s="8">
        <f t="shared" si="86"/>
        <v>4.9087499999999995</v>
      </c>
      <c r="K1775" s="8">
        <f t="shared" si="98"/>
        <v>34.60342536078624</v>
      </c>
      <c r="L1775" s="8">
        <f t="shared" si="95"/>
        <v>17.30171268039312</v>
      </c>
    </row>
    <row r="1776" spans="1:13" x14ac:dyDescent="0.25">
      <c r="A1776" s="1">
        <v>1777</v>
      </c>
      <c r="B1776" s="1">
        <v>6</v>
      </c>
      <c r="C1776" s="3" t="s">
        <v>51</v>
      </c>
      <c r="D1776" s="5" t="s">
        <v>28</v>
      </c>
      <c r="E1776" s="14">
        <v>3.5</v>
      </c>
      <c r="F1776" s="14">
        <v>8.1999999999999993</v>
      </c>
      <c r="G1776" s="14">
        <v>10.1</v>
      </c>
      <c r="H1776" s="14">
        <v>2.8</v>
      </c>
      <c r="I1776" s="8">
        <f t="shared" si="86"/>
        <v>6.1575359999999995</v>
      </c>
      <c r="K1776" s="8">
        <f t="shared" si="98"/>
        <v>44.853106746337211</v>
      </c>
      <c r="L1776" s="8">
        <f t="shared" si="95"/>
        <v>22.426553373168606</v>
      </c>
    </row>
    <row r="1777" spans="1:14" x14ac:dyDescent="0.25">
      <c r="A1777" s="1">
        <v>1778</v>
      </c>
      <c r="B1777" s="1">
        <v>7</v>
      </c>
      <c r="C1777" s="3" t="s">
        <v>51</v>
      </c>
      <c r="D1777" s="5" t="s">
        <v>28</v>
      </c>
      <c r="E1777" s="14">
        <v>3.8</v>
      </c>
      <c r="F1777" s="14">
        <v>9</v>
      </c>
      <c r="G1777" s="14">
        <v>11</v>
      </c>
      <c r="H1777" s="14">
        <v>3</v>
      </c>
      <c r="I1777" s="8">
        <f t="shared" si="86"/>
        <v>7.0686</v>
      </c>
      <c r="K1777" s="8">
        <f t="shared" si="98"/>
        <v>54.350058350042026</v>
      </c>
      <c r="L1777" s="8">
        <f t="shared" si="95"/>
        <v>27.175029175021013</v>
      </c>
    </row>
    <row r="1778" spans="1:14" x14ac:dyDescent="0.25">
      <c r="A1778" s="1">
        <v>1779</v>
      </c>
      <c r="B1778" s="1">
        <v>8</v>
      </c>
      <c r="C1778" s="3" t="s">
        <v>51</v>
      </c>
      <c r="D1778" s="5" t="s">
        <v>28</v>
      </c>
      <c r="E1778" s="14">
        <v>4</v>
      </c>
      <c r="F1778" s="14">
        <v>9.8000000000000007</v>
      </c>
      <c r="G1778" s="14">
        <v>12</v>
      </c>
      <c r="H1778" s="14">
        <v>3.2</v>
      </c>
      <c r="I1778" s="8">
        <f t="shared" si="86"/>
        <v>8.0424960000000016</v>
      </c>
      <c r="K1778" s="8">
        <f t="shared" si="98"/>
        <v>66.103012749559184</v>
      </c>
      <c r="L1778" s="8">
        <f t="shared" si="95"/>
        <v>33.051506374779592</v>
      </c>
      <c r="M1778" s="7">
        <f>SUM(L1771:L1778)</f>
        <v>377.8082390728967</v>
      </c>
    </row>
    <row r="1779" spans="1:14" x14ac:dyDescent="0.25">
      <c r="A1779" s="1">
        <v>1780</v>
      </c>
      <c r="B1779" s="1">
        <v>1</v>
      </c>
      <c r="C1779" s="3" t="s">
        <v>46</v>
      </c>
      <c r="D1779" s="6" t="s">
        <v>15</v>
      </c>
      <c r="E1779" s="14">
        <v>4</v>
      </c>
      <c r="F1779" s="14">
        <v>15.2</v>
      </c>
      <c r="G1779" s="14">
        <v>12.5</v>
      </c>
      <c r="H1779" s="14">
        <v>3.2</v>
      </c>
      <c r="I1779" s="8">
        <f t="shared" si="86"/>
        <v>8.0424960000000016</v>
      </c>
      <c r="K1779" s="8">
        <f t="shared" ref="K1779:K1783" si="99">EXP(-1.76)*G1779^2.26</f>
        <v>51.839206029442572</v>
      </c>
      <c r="L1779" s="8">
        <f t="shared" si="95"/>
        <v>25.919603014721286</v>
      </c>
    </row>
    <row r="1780" spans="1:14" x14ac:dyDescent="0.25">
      <c r="A1780" s="1">
        <v>1781</v>
      </c>
      <c r="B1780" s="1">
        <v>2</v>
      </c>
      <c r="C1780" s="3" t="s">
        <v>46</v>
      </c>
      <c r="D1780" s="6" t="s">
        <v>15</v>
      </c>
      <c r="E1780" s="14">
        <v>4.5</v>
      </c>
      <c r="F1780" s="14">
        <v>18</v>
      </c>
      <c r="G1780" s="14">
        <v>14</v>
      </c>
      <c r="H1780" s="14">
        <v>3.5</v>
      </c>
      <c r="I1780" s="8">
        <f t="shared" si="86"/>
        <v>9.6211500000000001</v>
      </c>
      <c r="K1780" s="8">
        <f t="shared" si="99"/>
        <v>66.971661345967334</v>
      </c>
      <c r="L1780" s="8">
        <f t="shared" si="95"/>
        <v>33.485830672983667</v>
      </c>
    </row>
    <row r="1781" spans="1:14" x14ac:dyDescent="0.25">
      <c r="A1781" s="1">
        <v>1782</v>
      </c>
      <c r="B1781" s="1">
        <v>3</v>
      </c>
      <c r="C1781" s="3" t="s">
        <v>46</v>
      </c>
      <c r="D1781" s="6" t="s">
        <v>15</v>
      </c>
      <c r="E1781" s="14">
        <v>3.5</v>
      </c>
      <c r="F1781" s="14">
        <v>21.3</v>
      </c>
      <c r="G1781" s="14">
        <v>15.5</v>
      </c>
      <c r="H1781" s="14">
        <v>3.8</v>
      </c>
      <c r="I1781" s="8">
        <f t="shared" si="86"/>
        <v>11.341175999999999</v>
      </c>
      <c r="K1781" s="8">
        <f t="shared" si="99"/>
        <v>84.292968751268589</v>
      </c>
      <c r="L1781" s="8">
        <f t="shared" si="95"/>
        <v>42.146484375634294</v>
      </c>
    </row>
    <row r="1782" spans="1:14" x14ac:dyDescent="0.25">
      <c r="A1782" s="1">
        <v>1783</v>
      </c>
      <c r="B1782" s="1">
        <v>4</v>
      </c>
      <c r="C1782" s="3" t="s">
        <v>46</v>
      </c>
      <c r="D1782" s="6" t="s">
        <v>15</v>
      </c>
      <c r="E1782" s="14">
        <v>3.2</v>
      </c>
      <c r="F1782" s="14">
        <v>25</v>
      </c>
      <c r="G1782" s="14">
        <v>17</v>
      </c>
      <c r="H1782" s="14">
        <v>4.2</v>
      </c>
      <c r="I1782" s="8">
        <f t="shared" si="86"/>
        <v>13.854456000000001</v>
      </c>
      <c r="K1782" s="8">
        <f t="shared" si="99"/>
        <v>103.86190264443721</v>
      </c>
      <c r="L1782" s="8">
        <f t="shared" si="95"/>
        <v>51.930951322218604</v>
      </c>
      <c r="N1782" s="9"/>
    </row>
    <row r="1783" spans="1:14" x14ac:dyDescent="0.25">
      <c r="A1783" s="1">
        <v>1784</v>
      </c>
      <c r="B1783" s="1">
        <v>5</v>
      </c>
      <c r="C1783" s="3" t="s">
        <v>46</v>
      </c>
      <c r="D1783" s="6" t="s">
        <v>15</v>
      </c>
      <c r="E1783" s="14">
        <v>3.3</v>
      </c>
      <c r="F1783" s="14">
        <v>29</v>
      </c>
      <c r="G1783" s="14">
        <v>18.5</v>
      </c>
      <c r="H1783" s="14">
        <v>4.5</v>
      </c>
      <c r="I1783" s="8">
        <f t="shared" si="86"/>
        <v>15.904349999999999</v>
      </c>
      <c r="K1783" s="8">
        <f t="shared" si="99"/>
        <v>125.7331563536417</v>
      </c>
      <c r="L1783" s="8">
        <f t="shared" si="95"/>
        <v>62.866578176820852</v>
      </c>
      <c r="M1783" s="7">
        <f>SUM(L1779:L1783)</f>
        <v>216.34944756237871</v>
      </c>
      <c r="N1783" s="9"/>
    </row>
    <row r="1784" spans="1:14" x14ac:dyDescent="0.25">
      <c r="A1784" s="1">
        <v>1785</v>
      </c>
      <c r="B1784" s="1">
        <v>1</v>
      </c>
      <c r="C1784" s="3" t="s">
        <v>9</v>
      </c>
      <c r="D1784" s="5" t="s">
        <v>26</v>
      </c>
      <c r="E1784" s="14">
        <v>3.5</v>
      </c>
      <c r="F1784" s="14">
        <v>10</v>
      </c>
      <c r="G1784" s="14">
        <v>8</v>
      </c>
      <c r="H1784" s="14">
        <v>2.5</v>
      </c>
      <c r="I1784" s="8">
        <f t="shared" si="86"/>
        <v>4.9087499999999995</v>
      </c>
      <c r="K1784" s="8">
        <f>0.0673*(0.35*G1784*G1784*E1784)^0.976</f>
        <v>4.7519027214161778</v>
      </c>
      <c r="L1784" s="8">
        <f t="shared" si="95"/>
        <v>2.3759513607080889</v>
      </c>
      <c r="N1784" s="9"/>
    </row>
    <row r="1785" spans="1:14" x14ac:dyDescent="0.25">
      <c r="A1785" s="1">
        <v>1786</v>
      </c>
      <c r="B1785" s="1">
        <v>2</v>
      </c>
      <c r="C1785" s="3" t="s">
        <v>9</v>
      </c>
      <c r="D1785" s="5" t="s">
        <v>26</v>
      </c>
      <c r="E1785" s="14">
        <v>4</v>
      </c>
      <c r="F1785" s="14">
        <v>11</v>
      </c>
      <c r="G1785" s="14">
        <v>9.1999999999999993</v>
      </c>
      <c r="H1785" s="14">
        <v>2.8</v>
      </c>
      <c r="I1785" s="8">
        <f t="shared" si="86"/>
        <v>6.1575359999999995</v>
      </c>
      <c r="K1785" s="8">
        <f t="shared" ref="K1785:K1792" si="100">0.0673*(0.35*G1785*G1785*E1785)^0.976</f>
        <v>7.1113141750788014</v>
      </c>
      <c r="L1785" s="8">
        <f t="shared" si="95"/>
        <v>3.5556570875394007</v>
      </c>
      <c r="N1785" s="9"/>
    </row>
    <row r="1786" spans="1:14" x14ac:dyDescent="0.25">
      <c r="A1786" s="1">
        <v>1787</v>
      </c>
      <c r="B1786" s="1">
        <v>3</v>
      </c>
      <c r="C1786" s="3" t="s">
        <v>9</v>
      </c>
      <c r="D1786" s="5" t="s">
        <v>26</v>
      </c>
      <c r="E1786" s="14">
        <v>4.2</v>
      </c>
      <c r="F1786" s="14">
        <v>12</v>
      </c>
      <c r="G1786" s="14">
        <v>10</v>
      </c>
      <c r="H1786" s="14">
        <v>3</v>
      </c>
      <c r="I1786" s="8">
        <f t="shared" si="86"/>
        <v>7.0686</v>
      </c>
      <c r="K1786" s="8">
        <f t="shared" si="100"/>
        <v>8.7764075615646089</v>
      </c>
      <c r="L1786" s="8">
        <f t="shared" si="95"/>
        <v>4.3882037807823044</v>
      </c>
      <c r="N1786" s="9"/>
    </row>
    <row r="1787" spans="1:14" x14ac:dyDescent="0.25">
      <c r="A1787" s="1">
        <v>1788</v>
      </c>
      <c r="B1787" s="1">
        <v>4</v>
      </c>
      <c r="C1787" s="3" t="s">
        <v>9</v>
      </c>
      <c r="D1787" s="5" t="s">
        <v>26</v>
      </c>
      <c r="E1787" s="14">
        <v>2.98</v>
      </c>
      <c r="F1787" s="14">
        <v>13</v>
      </c>
      <c r="G1787" s="14">
        <v>10.5</v>
      </c>
      <c r="H1787" s="14">
        <v>3.2</v>
      </c>
      <c r="I1787" s="8">
        <f t="shared" si="86"/>
        <v>8.0424960000000016</v>
      </c>
      <c r="K1787" s="8">
        <f t="shared" si="100"/>
        <v>6.9059282365222208</v>
      </c>
      <c r="L1787" s="8">
        <f t="shared" si="95"/>
        <v>3.4529641182611104</v>
      </c>
    </row>
    <row r="1788" spans="1:14" x14ac:dyDescent="0.25">
      <c r="A1788" s="1">
        <v>1789</v>
      </c>
      <c r="B1788" s="1">
        <v>5</v>
      </c>
      <c r="C1788" s="3" t="s">
        <v>9</v>
      </c>
      <c r="D1788" s="5" t="s">
        <v>26</v>
      </c>
      <c r="E1788" s="14">
        <v>2.78</v>
      </c>
      <c r="F1788" s="14">
        <v>13.5</v>
      </c>
      <c r="G1788" s="14">
        <v>11</v>
      </c>
      <c r="H1788" s="14">
        <v>3.5</v>
      </c>
      <c r="I1788" s="8">
        <f t="shared" si="86"/>
        <v>9.6211500000000001</v>
      </c>
      <c r="K1788" s="8">
        <f t="shared" si="100"/>
        <v>7.0666196670454084</v>
      </c>
      <c r="L1788" s="8">
        <f t="shared" si="95"/>
        <v>3.5333098335227042</v>
      </c>
    </row>
    <row r="1789" spans="1:14" x14ac:dyDescent="0.25">
      <c r="A1789" s="1">
        <v>1790</v>
      </c>
      <c r="B1789" s="1">
        <v>6</v>
      </c>
      <c r="C1789" s="3" t="s">
        <v>9</v>
      </c>
      <c r="D1789" s="5" t="s">
        <v>26</v>
      </c>
      <c r="E1789" s="14">
        <v>2.67</v>
      </c>
      <c r="F1789" s="14">
        <v>14</v>
      </c>
      <c r="G1789" s="14">
        <v>11.5</v>
      </c>
      <c r="H1789" s="14">
        <v>3.7</v>
      </c>
      <c r="I1789" s="8">
        <f t="shared" si="86"/>
        <v>10.752126000000001</v>
      </c>
      <c r="K1789" s="8">
        <f t="shared" si="100"/>
        <v>7.4093933456437755</v>
      </c>
      <c r="L1789" s="8">
        <f t="shared" si="95"/>
        <v>3.7046966728218877</v>
      </c>
      <c r="M1789" s="9"/>
    </row>
    <row r="1790" spans="1:14" x14ac:dyDescent="0.25">
      <c r="A1790" s="1">
        <v>1791</v>
      </c>
      <c r="B1790" s="1">
        <v>7</v>
      </c>
      <c r="C1790" s="3" t="s">
        <v>9</v>
      </c>
      <c r="D1790" s="5" t="s">
        <v>26</v>
      </c>
      <c r="E1790" s="14">
        <v>2.87</v>
      </c>
      <c r="F1790" s="14">
        <v>15</v>
      </c>
      <c r="G1790" s="14">
        <v>12</v>
      </c>
      <c r="H1790" s="14">
        <v>4</v>
      </c>
      <c r="I1790" s="8">
        <f t="shared" si="86"/>
        <v>12.5664</v>
      </c>
      <c r="K1790" s="8">
        <f t="shared" si="100"/>
        <v>8.6393287221414727</v>
      </c>
      <c r="L1790" s="8">
        <f t="shared" si="95"/>
        <v>4.3196643610707364</v>
      </c>
      <c r="M1790" s="9"/>
    </row>
    <row r="1791" spans="1:14" x14ac:dyDescent="0.25">
      <c r="A1791" s="1">
        <v>1792</v>
      </c>
      <c r="B1791" s="1">
        <v>8</v>
      </c>
      <c r="C1791" s="3" t="s">
        <v>9</v>
      </c>
      <c r="D1791" s="5" t="s">
        <v>26</v>
      </c>
      <c r="E1791" s="14">
        <v>3.45</v>
      </c>
      <c r="F1791" s="14">
        <v>16</v>
      </c>
      <c r="G1791" s="14">
        <v>12.5</v>
      </c>
      <c r="H1791" s="14">
        <v>4.2</v>
      </c>
      <c r="I1791" s="8">
        <f t="shared" si="86"/>
        <v>13.854456000000001</v>
      </c>
      <c r="K1791" s="8">
        <f t="shared" si="100"/>
        <v>11.197092286812579</v>
      </c>
      <c r="L1791" s="8">
        <f t="shared" si="95"/>
        <v>5.5985461434062893</v>
      </c>
      <c r="M1791" s="9"/>
    </row>
    <row r="1792" spans="1:14" x14ac:dyDescent="0.25">
      <c r="A1792" s="1">
        <v>1793</v>
      </c>
      <c r="B1792" s="1">
        <v>9</v>
      </c>
      <c r="C1792" s="3" t="s">
        <v>9</v>
      </c>
      <c r="D1792" s="5" t="s">
        <v>26</v>
      </c>
      <c r="E1792" s="14">
        <v>3.54</v>
      </c>
      <c r="F1792" s="14">
        <v>17</v>
      </c>
      <c r="G1792" s="14">
        <v>13</v>
      </c>
      <c r="H1792" s="14">
        <v>4.5</v>
      </c>
      <c r="I1792" s="8">
        <f t="shared" si="86"/>
        <v>15.904349999999999</v>
      </c>
      <c r="K1792" s="8">
        <f t="shared" si="100"/>
        <v>12.395672200685322</v>
      </c>
      <c r="L1792" s="8">
        <f t="shared" si="95"/>
        <v>6.197836100342661</v>
      </c>
    </row>
    <row r="1793" spans="1:16" x14ac:dyDescent="0.25">
      <c r="A1793" s="1">
        <v>1794</v>
      </c>
      <c r="B1793" s="1">
        <v>10</v>
      </c>
      <c r="C1793" s="3" t="s">
        <v>9</v>
      </c>
      <c r="D1793" s="5" t="s">
        <v>26</v>
      </c>
      <c r="E1793" s="14">
        <v>2.67</v>
      </c>
      <c r="F1793" s="14">
        <v>18</v>
      </c>
      <c r="G1793" s="14">
        <v>13.5</v>
      </c>
      <c r="H1793" s="14">
        <v>4.7</v>
      </c>
      <c r="I1793" s="8">
        <f t="shared" ref="I1793:I1794" si="101">0.7854*H1793^2</f>
        <v>17.349486000000002</v>
      </c>
      <c r="K1793" s="8">
        <f t="shared" ref="K1793" si="102">0.0673*(0.35*G1793*G1793*E1793)^0.976</f>
        <v>10.132391985078002</v>
      </c>
      <c r="L1793" s="8">
        <f t="shared" ref="L1793" si="103">K1793*0.5</f>
        <v>5.0661959925390008</v>
      </c>
    </row>
    <row r="1794" spans="1:16" x14ac:dyDescent="0.25">
      <c r="A1794" s="1">
        <v>1795</v>
      </c>
      <c r="B1794" s="1">
        <v>11</v>
      </c>
      <c r="C1794" s="3" t="s">
        <v>9</v>
      </c>
      <c r="D1794" s="5" t="s">
        <v>26</v>
      </c>
      <c r="E1794" s="14">
        <v>2.67</v>
      </c>
      <c r="F1794" s="14">
        <v>18</v>
      </c>
      <c r="G1794" s="14">
        <v>13.5</v>
      </c>
      <c r="H1794" s="14">
        <v>4.7</v>
      </c>
      <c r="I1794" s="8">
        <f t="shared" si="101"/>
        <v>17.349486000000002</v>
      </c>
      <c r="K1794" s="8">
        <f t="shared" ref="K1794" si="104">0.0673*(0.35*G1794*G1794*E1794)^0.976</f>
        <v>10.132391985078002</v>
      </c>
      <c r="L1794" s="8">
        <f t="shared" ref="L1794:L1818" si="105">K1794*0.5</f>
        <v>5.0661959925390008</v>
      </c>
      <c r="M1794" s="11">
        <f>SUM(L1784:L1794)</f>
        <v>47.259221443533185</v>
      </c>
    </row>
    <row r="1795" spans="1:16" x14ac:dyDescent="0.25">
      <c r="A1795" s="1">
        <v>1796</v>
      </c>
      <c r="B1795" s="1">
        <v>1</v>
      </c>
      <c r="C1795" s="3" t="s">
        <v>50</v>
      </c>
      <c r="D1795" s="5" t="s">
        <v>27</v>
      </c>
      <c r="E1795" s="10">
        <v>4</v>
      </c>
      <c r="F1795" s="10">
        <v>15</v>
      </c>
      <c r="G1795" s="10">
        <v>14</v>
      </c>
      <c r="H1795" s="10">
        <v>6</v>
      </c>
      <c r="I1795" s="8">
        <f t="shared" ref="I1795:I1855" si="106">0.7854*H1795^2</f>
        <v>28.2744</v>
      </c>
      <c r="K1795" s="8">
        <f>10^(-1.11+2.64*LOG(G1795))</f>
        <v>82.371697169601262</v>
      </c>
      <c r="L1795" s="8">
        <f t="shared" si="105"/>
        <v>41.185848584800631</v>
      </c>
      <c r="M1795" s="9"/>
    </row>
    <row r="1796" spans="1:16" x14ac:dyDescent="0.25">
      <c r="A1796" s="1">
        <v>1797</v>
      </c>
      <c r="B1796" s="1">
        <v>2</v>
      </c>
      <c r="C1796" s="3" t="s">
        <v>50</v>
      </c>
      <c r="D1796" s="5" t="s">
        <v>27</v>
      </c>
      <c r="E1796" s="10">
        <v>3.76</v>
      </c>
      <c r="F1796" s="10">
        <v>13</v>
      </c>
      <c r="G1796" s="10">
        <v>11</v>
      </c>
      <c r="H1796" s="10">
        <v>5.87</v>
      </c>
      <c r="I1796" s="8">
        <f t="shared" si="106"/>
        <v>27.062449260000005</v>
      </c>
      <c r="K1796" s="8">
        <f>10^(-1.11+2.64*LOG(G1796))</f>
        <v>43.57894265080369</v>
      </c>
      <c r="L1796" s="8">
        <f t="shared" si="105"/>
        <v>21.789471325401845</v>
      </c>
      <c r="M1796" s="11">
        <f>SUM(L1795:L1796)</f>
        <v>62.975319910202472</v>
      </c>
    </row>
    <row r="1797" spans="1:16" x14ac:dyDescent="0.25">
      <c r="A1797" s="1">
        <v>1798</v>
      </c>
      <c r="B1797" s="1">
        <v>1</v>
      </c>
      <c r="C1797" s="3" t="s">
        <v>10</v>
      </c>
      <c r="D1797" s="5" t="s">
        <v>25</v>
      </c>
      <c r="E1797" s="10">
        <v>2.78</v>
      </c>
      <c r="F1797" s="13">
        <v>9.5</v>
      </c>
      <c r="G1797" s="10">
        <v>7.43</v>
      </c>
      <c r="H1797" s="10">
        <v>2</v>
      </c>
      <c r="I1797" s="8">
        <f t="shared" si="106"/>
        <v>3.1415999999999999</v>
      </c>
      <c r="J1797">
        <f>0.7854*(F1797)^2</f>
        <v>70.882350000000002</v>
      </c>
      <c r="K1797" s="8">
        <f>6.64+0.279*(J1797)+0.000514*(J1797)^2</f>
        <v>28.99866972634257</v>
      </c>
      <c r="L1797" s="8">
        <f t="shared" si="105"/>
        <v>14.499334863171285</v>
      </c>
      <c r="M1797" s="9"/>
    </row>
    <row r="1798" spans="1:16" x14ac:dyDescent="0.25">
      <c r="A1798" s="1">
        <v>1799</v>
      </c>
      <c r="B1798" s="1">
        <v>2</v>
      </c>
      <c r="C1798" s="3" t="s">
        <v>10</v>
      </c>
      <c r="D1798" s="5" t="s">
        <v>25</v>
      </c>
      <c r="E1798" s="10">
        <v>3.01</v>
      </c>
      <c r="F1798" s="13">
        <v>13.7</v>
      </c>
      <c r="G1798" s="10">
        <v>11.78</v>
      </c>
      <c r="H1798" s="10">
        <v>4</v>
      </c>
      <c r="I1798" s="8">
        <f t="shared" si="106"/>
        <v>12.5664</v>
      </c>
      <c r="J1798">
        <f t="shared" ref="J1798:J1808" si="107">0.7854*(F1798)^2</f>
        <v>147.41172599999999</v>
      </c>
      <c r="K1798" s="8">
        <f t="shared" ref="K1798:K1808" si="108">6.64+0.279*(J1798)+0.000514*(J1798)^2</f>
        <v>58.937203072621728</v>
      </c>
      <c r="L1798" s="8">
        <f t="shared" si="105"/>
        <v>29.468601536310864</v>
      </c>
      <c r="M1798" s="9"/>
    </row>
    <row r="1799" spans="1:16" x14ac:dyDescent="0.25">
      <c r="A1799" s="1">
        <v>1800</v>
      </c>
      <c r="B1799" s="1">
        <v>3</v>
      </c>
      <c r="C1799" s="3" t="s">
        <v>10</v>
      </c>
      <c r="D1799" s="5" t="s">
        <v>25</v>
      </c>
      <c r="E1799" s="10">
        <v>2.74</v>
      </c>
      <c r="F1799" s="13">
        <v>13.62</v>
      </c>
      <c r="G1799" s="10">
        <v>11.62</v>
      </c>
      <c r="H1799" s="10">
        <v>2.5</v>
      </c>
      <c r="I1799" s="8">
        <f t="shared" si="106"/>
        <v>4.9087499999999995</v>
      </c>
      <c r="J1799">
        <f t="shared" si="107"/>
        <v>145.69515575999998</v>
      </c>
      <c r="K1799" s="8">
        <f t="shared" si="108"/>
        <v>58.199666760772359</v>
      </c>
      <c r="L1799" s="8">
        <f t="shared" si="105"/>
        <v>29.09983338038618</v>
      </c>
    </row>
    <row r="1800" spans="1:16" x14ac:dyDescent="0.25">
      <c r="A1800" s="1">
        <v>1801</v>
      </c>
      <c r="B1800" s="1">
        <v>4</v>
      </c>
      <c r="C1800" s="3" t="s">
        <v>10</v>
      </c>
      <c r="D1800" s="5" t="s">
        <v>25</v>
      </c>
      <c r="E1800" s="10">
        <v>2.89</v>
      </c>
      <c r="F1800" s="13">
        <v>10.24</v>
      </c>
      <c r="G1800" s="10">
        <v>8.24</v>
      </c>
      <c r="H1800" s="10">
        <v>3</v>
      </c>
      <c r="I1800" s="8">
        <f t="shared" si="106"/>
        <v>7.0686</v>
      </c>
      <c r="J1800">
        <f t="shared" si="107"/>
        <v>82.355159040000004</v>
      </c>
      <c r="K1800" s="8">
        <f t="shared" si="108"/>
        <v>33.103228693498899</v>
      </c>
      <c r="L1800" s="8">
        <f t="shared" si="105"/>
        <v>16.551614346749449</v>
      </c>
    </row>
    <row r="1801" spans="1:16" x14ac:dyDescent="0.25">
      <c r="A1801" s="1">
        <v>1802</v>
      </c>
      <c r="B1801" s="1">
        <v>5</v>
      </c>
      <c r="C1801" s="3" t="s">
        <v>10</v>
      </c>
      <c r="D1801" s="5" t="s">
        <v>25</v>
      </c>
      <c r="E1801" s="10">
        <v>3.76</v>
      </c>
      <c r="F1801" s="13">
        <v>12.67</v>
      </c>
      <c r="G1801" s="10">
        <v>10.67</v>
      </c>
      <c r="H1801" s="10">
        <v>3</v>
      </c>
      <c r="I1801" s="8">
        <f t="shared" si="106"/>
        <v>7.0686</v>
      </c>
      <c r="J1801">
        <f t="shared" si="107"/>
        <v>126.07939805999999</v>
      </c>
      <c r="K1801" s="8">
        <f t="shared" si="108"/>
        <v>49.986703570938374</v>
      </c>
      <c r="L1801" s="8">
        <f t="shared" si="105"/>
        <v>24.993351785469187</v>
      </c>
    </row>
    <row r="1802" spans="1:16" x14ac:dyDescent="0.25">
      <c r="A1802" s="1">
        <v>1803</v>
      </c>
      <c r="B1802" s="1">
        <v>6</v>
      </c>
      <c r="C1802" s="3" t="s">
        <v>10</v>
      </c>
      <c r="D1802" s="5" t="s">
        <v>25</v>
      </c>
      <c r="E1802" s="10">
        <v>2.96</v>
      </c>
      <c r="F1802" s="13">
        <v>11.08</v>
      </c>
      <c r="G1802" s="10">
        <v>9.08</v>
      </c>
      <c r="H1802" s="10">
        <v>2.5</v>
      </c>
      <c r="I1802" s="8">
        <f t="shared" si="106"/>
        <v>4.9087499999999995</v>
      </c>
      <c r="J1802">
        <f t="shared" si="107"/>
        <v>96.420730559999996</v>
      </c>
      <c r="K1802" s="8">
        <f t="shared" si="108"/>
        <v>38.320019869046199</v>
      </c>
      <c r="L1802" s="8">
        <f t="shared" si="105"/>
        <v>19.160009934523099</v>
      </c>
    </row>
    <row r="1803" spans="1:16" x14ac:dyDescent="0.25">
      <c r="A1803" s="1">
        <v>1804</v>
      </c>
      <c r="B1803" s="1">
        <v>7</v>
      </c>
      <c r="C1803" s="3" t="s">
        <v>10</v>
      </c>
      <c r="D1803" s="5" t="s">
        <v>25</v>
      </c>
      <c r="E1803" s="10">
        <v>2.74</v>
      </c>
      <c r="F1803" s="13">
        <v>12.02</v>
      </c>
      <c r="G1803" s="10">
        <v>10.02</v>
      </c>
      <c r="H1803" s="10">
        <v>3</v>
      </c>
      <c r="I1803" s="8">
        <f t="shared" si="106"/>
        <v>7.0686</v>
      </c>
      <c r="J1803">
        <f t="shared" si="107"/>
        <v>113.47490616</v>
      </c>
      <c r="K1803" s="8">
        <f t="shared" si="108"/>
        <v>44.918047743242695</v>
      </c>
      <c r="L1803" s="8">
        <f t="shared" si="105"/>
        <v>22.459023871621348</v>
      </c>
    </row>
    <row r="1804" spans="1:16" x14ac:dyDescent="0.25">
      <c r="A1804" s="1">
        <v>1805</v>
      </c>
      <c r="B1804" s="1">
        <v>8</v>
      </c>
      <c r="C1804" s="3" t="s">
        <v>10</v>
      </c>
      <c r="D1804" s="5" t="s">
        <v>25</v>
      </c>
      <c r="E1804" s="10">
        <v>4.4400000000000004</v>
      </c>
      <c r="F1804" s="13">
        <v>9.67</v>
      </c>
      <c r="G1804" s="10">
        <v>7.67</v>
      </c>
      <c r="H1804" s="10">
        <v>2</v>
      </c>
      <c r="I1804" s="8">
        <f t="shared" si="106"/>
        <v>3.1415999999999999</v>
      </c>
      <c r="J1804">
        <f t="shared" si="107"/>
        <v>73.441890059999992</v>
      </c>
      <c r="K1804" s="8">
        <f t="shared" si="108"/>
        <v>29.902654891550753</v>
      </c>
      <c r="L1804" s="8">
        <f t="shared" si="105"/>
        <v>14.951327445775377</v>
      </c>
    </row>
    <row r="1805" spans="1:16" x14ac:dyDescent="0.25">
      <c r="A1805" s="1">
        <v>1806</v>
      </c>
      <c r="B1805" s="1">
        <v>9</v>
      </c>
      <c r="C1805" s="3" t="s">
        <v>10</v>
      </c>
      <c r="D1805" s="5" t="s">
        <v>25</v>
      </c>
      <c r="E1805" s="10">
        <v>4.32</v>
      </c>
      <c r="F1805" s="13">
        <v>9.89</v>
      </c>
      <c r="G1805" s="10">
        <v>7.8900000000000006</v>
      </c>
      <c r="H1805" s="10">
        <v>3.5</v>
      </c>
      <c r="I1805" s="8">
        <f t="shared" si="106"/>
        <v>9.6211500000000001</v>
      </c>
      <c r="J1805">
        <f t="shared" si="107"/>
        <v>76.821623340000016</v>
      </c>
      <c r="K1805" s="8">
        <f t="shared" si="108"/>
        <v>31.106635683532723</v>
      </c>
      <c r="L1805" s="8">
        <f t="shared" si="105"/>
        <v>15.553317841766361</v>
      </c>
    </row>
    <row r="1806" spans="1:16" x14ac:dyDescent="0.25">
      <c r="A1806" s="1">
        <v>1807</v>
      </c>
      <c r="B1806" s="1">
        <v>10</v>
      </c>
      <c r="C1806" s="3" t="s">
        <v>10</v>
      </c>
      <c r="D1806" s="5" t="s">
        <v>25</v>
      </c>
      <c r="E1806" s="10">
        <v>3.31</v>
      </c>
      <c r="F1806" s="13">
        <v>13.56</v>
      </c>
      <c r="G1806" s="10">
        <v>11.56</v>
      </c>
      <c r="H1806" s="10">
        <v>3.5</v>
      </c>
      <c r="I1806" s="8">
        <f t="shared" si="106"/>
        <v>9.6211500000000001</v>
      </c>
      <c r="J1806">
        <f t="shared" si="107"/>
        <v>144.41432544</v>
      </c>
      <c r="K1806" s="8">
        <f t="shared" si="108"/>
        <v>57.651322457397178</v>
      </c>
      <c r="L1806" s="8">
        <f t="shared" si="105"/>
        <v>28.825661228698589</v>
      </c>
    </row>
    <row r="1807" spans="1:16" x14ac:dyDescent="0.25">
      <c r="A1807" s="1">
        <v>1808</v>
      </c>
      <c r="B1807" s="1">
        <v>11</v>
      </c>
      <c r="C1807" s="3" t="s">
        <v>10</v>
      </c>
      <c r="D1807" s="5" t="s">
        <v>25</v>
      </c>
      <c r="E1807" s="10">
        <v>3.98</v>
      </c>
      <c r="F1807" s="13">
        <v>9.02</v>
      </c>
      <c r="G1807" s="10">
        <v>7.02</v>
      </c>
      <c r="H1807" s="10">
        <v>4</v>
      </c>
      <c r="I1807" s="8">
        <f t="shared" si="106"/>
        <v>12.5664</v>
      </c>
      <c r="J1807">
        <f t="shared" si="107"/>
        <v>63.900458159999999</v>
      </c>
      <c r="K1807" s="8">
        <f t="shared" si="108"/>
        <v>26.567027862911768</v>
      </c>
      <c r="L1807" s="8">
        <f t="shared" si="105"/>
        <v>13.283513931455884</v>
      </c>
      <c r="P1807" s="12"/>
    </row>
    <row r="1808" spans="1:16" x14ac:dyDescent="0.25">
      <c r="A1808" s="1">
        <v>1809</v>
      </c>
      <c r="B1808" s="1">
        <v>12</v>
      </c>
      <c r="C1808" s="3" t="s">
        <v>10</v>
      </c>
      <c r="D1808" s="5" t="s">
        <v>25</v>
      </c>
      <c r="E1808" s="10">
        <v>2.97</v>
      </c>
      <c r="F1808" s="13">
        <v>9.35</v>
      </c>
      <c r="G1808" s="10">
        <v>7.35</v>
      </c>
      <c r="H1808" s="10">
        <v>2</v>
      </c>
      <c r="I1808" s="8">
        <f t="shared" si="106"/>
        <v>3.1415999999999999</v>
      </c>
      <c r="J1808">
        <f t="shared" si="107"/>
        <v>68.661631499999999</v>
      </c>
      <c r="K1808" s="8">
        <f t="shared" si="108"/>
        <v>28.219806883584283</v>
      </c>
      <c r="L1808" s="8">
        <f t="shared" si="105"/>
        <v>14.109903441792142</v>
      </c>
      <c r="M1808" s="7">
        <f>SUM(L1797:L1808)</f>
        <v>242.95549360771975</v>
      </c>
    </row>
    <row r="1809" spans="1:13" x14ac:dyDescent="0.25">
      <c r="A1809" s="1">
        <v>1810</v>
      </c>
      <c r="B1809" s="1">
        <v>1</v>
      </c>
      <c r="C1809" s="3" t="s">
        <v>5</v>
      </c>
      <c r="D1809" s="5" t="s">
        <v>17</v>
      </c>
      <c r="E1809" s="10">
        <v>4</v>
      </c>
      <c r="F1809" s="10">
        <v>23</v>
      </c>
      <c r="G1809" s="10">
        <v>19</v>
      </c>
      <c r="H1809" s="10">
        <v>4</v>
      </c>
      <c r="I1809" s="8">
        <f t="shared" si="106"/>
        <v>12.5664</v>
      </c>
      <c r="K1809" s="8">
        <f>0.053*((G1809^2)*(E1809^0.7))^1.0072</f>
        <v>53.048547803014444</v>
      </c>
      <c r="L1809" s="8">
        <f t="shared" si="105"/>
        <v>26.524273901507222</v>
      </c>
    </row>
    <row r="1810" spans="1:13" x14ac:dyDescent="0.25">
      <c r="A1810" s="1">
        <v>1811</v>
      </c>
      <c r="B1810" s="1">
        <v>2</v>
      </c>
      <c r="C1810" s="3" t="s">
        <v>5</v>
      </c>
      <c r="D1810" s="5" t="s">
        <v>17</v>
      </c>
      <c r="E1810" s="10">
        <v>4.5</v>
      </c>
      <c r="F1810" s="10">
        <v>20</v>
      </c>
      <c r="G1810" s="10">
        <v>18</v>
      </c>
      <c r="H1810" s="10">
        <v>3.87</v>
      </c>
      <c r="I1810" s="8">
        <f t="shared" si="106"/>
        <v>11.762857260000001</v>
      </c>
      <c r="K1810" s="8">
        <f t="shared" ref="K1810:K1817" si="109">0.053*((G1810^2)*(E1810^0.7))^1.0072</f>
        <v>51.693716246116082</v>
      </c>
      <c r="L1810" s="8">
        <f t="shared" si="105"/>
        <v>25.846858123058041</v>
      </c>
    </row>
    <row r="1811" spans="1:13" x14ac:dyDescent="0.25">
      <c r="A1811" s="1">
        <v>1812</v>
      </c>
      <c r="B1811" s="1">
        <v>3</v>
      </c>
      <c r="C1811" s="3" t="s">
        <v>5</v>
      </c>
      <c r="D1811" s="5" t="s">
        <v>17</v>
      </c>
      <c r="E1811" s="10">
        <v>4.3</v>
      </c>
      <c r="F1811" s="10">
        <v>26</v>
      </c>
      <c r="G1811" s="10">
        <v>23</v>
      </c>
      <c r="H1811" s="10">
        <v>5</v>
      </c>
      <c r="I1811" s="8">
        <f t="shared" si="106"/>
        <v>19.634999999999998</v>
      </c>
      <c r="K1811" s="8">
        <f t="shared" si="109"/>
        <v>82.02779216987409</v>
      </c>
      <c r="L1811" s="8">
        <f t="shared" si="105"/>
        <v>41.013896084937045</v>
      </c>
    </row>
    <row r="1812" spans="1:13" x14ac:dyDescent="0.25">
      <c r="A1812" s="1">
        <v>1813</v>
      </c>
      <c r="B1812" s="1">
        <v>4</v>
      </c>
      <c r="C1812" s="3" t="s">
        <v>5</v>
      </c>
      <c r="D1812" s="5" t="s">
        <v>17</v>
      </c>
      <c r="E1812" s="10">
        <v>4.5999999999999996</v>
      </c>
      <c r="F1812" s="10">
        <v>29</v>
      </c>
      <c r="G1812" s="10">
        <v>27</v>
      </c>
      <c r="H1812" s="10">
        <v>4.9000000000000004</v>
      </c>
      <c r="I1812" s="8">
        <f t="shared" si="106"/>
        <v>18.857454000000004</v>
      </c>
      <c r="K1812" s="8">
        <f t="shared" si="109"/>
        <v>118.81897942823177</v>
      </c>
      <c r="L1812" s="8">
        <f t="shared" si="105"/>
        <v>59.409489714115885</v>
      </c>
    </row>
    <row r="1813" spans="1:13" x14ac:dyDescent="0.25">
      <c r="A1813" s="1">
        <v>1814</v>
      </c>
      <c r="B1813" s="1">
        <v>5</v>
      </c>
      <c r="C1813" s="3" t="s">
        <v>5</v>
      </c>
      <c r="D1813" s="5" t="s">
        <v>17</v>
      </c>
      <c r="E1813" s="10">
        <v>5</v>
      </c>
      <c r="F1813" s="10">
        <v>31</v>
      </c>
      <c r="G1813" s="10">
        <v>24</v>
      </c>
      <c r="H1813" s="10">
        <v>5.2</v>
      </c>
      <c r="I1813" s="8">
        <f t="shared" si="106"/>
        <v>21.237216</v>
      </c>
      <c r="K1813" s="8">
        <f t="shared" si="109"/>
        <v>99.397441729685767</v>
      </c>
      <c r="L1813" s="8">
        <f t="shared" si="105"/>
        <v>49.698720864842883</v>
      </c>
    </row>
    <row r="1814" spans="1:13" x14ac:dyDescent="0.25">
      <c r="A1814" s="1">
        <v>1815</v>
      </c>
      <c r="B1814" s="1">
        <v>1</v>
      </c>
      <c r="C1814" s="3" t="s">
        <v>48</v>
      </c>
      <c r="D1814" s="6" t="s">
        <v>18</v>
      </c>
      <c r="E1814" s="10">
        <v>4.7</v>
      </c>
      <c r="F1814" s="10">
        <v>21</v>
      </c>
      <c r="G1814" s="10">
        <v>19</v>
      </c>
      <c r="H1814" s="10">
        <v>4.87</v>
      </c>
      <c r="I1814" s="8">
        <f t="shared" si="106"/>
        <v>18.627253260000003</v>
      </c>
      <c r="K1814" s="8">
        <f t="shared" si="109"/>
        <v>59.43646847365823</v>
      </c>
      <c r="L1814" s="8">
        <f t="shared" si="105"/>
        <v>29.718234236829115</v>
      </c>
    </row>
    <row r="1815" spans="1:13" x14ac:dyDescent="0.25">
      <c r="A1815" s="1">
        <v>1816</v>
      </c>
      <c r="B1815" s="1">
        <v>2</v>
      </c>
      <c r="C1815" s="3" t="s">
        <v>48</v>
      </c>
      <c r="D1815" s="6" t="s">
        <v>18</v>
      </c>
      <c r="E1815" s="10">
        <v>4.8</v>
      </c>
      <c r="F1815" s="10">
        <v>32</v>
      </c>
      <c r="G1815" s="10">
        <v>27</v>
      </c>
      <c r="H1815" s="10">
        <v>4.53</v>
      </c>
      <c r="I1815" s="8">
        <f t="shared" si="106"/>
        <v>16.117114860000001</v>
      </c>
      <c r="K1815" s="8">
        <f t="shared" si="109"/>
        <v>122.43831892722152</v>
      </c>
      <c r="L1815" s="8">
        <f t="shared" si="105"/>
        <v>61.219159463610758</v>
      </c>
    </row>
    <row r="1816" spans="1:13" x14ac:dyDescent="0.25">
      <c r="A1816" s="1">
        <v>1817</v>
      </c>
      <c r="B1816" s="1">
        <v>3</v>
      </c>
      <c r="C1816" s="3" t="s">
        <v>48</v>
      </c>
      <c r="D1816" s="6" t="s">
        <v>18</v>
      </c>
      <c r="E1816" s="10">
        <v>4.7</v>
      </c>
      <c r="F1816" s="10">
        <v>23</v>
      </c>
      <c r="G1816" s="10">
        <v>18</v>
      </c>
      <c r="H1816" s="10">
        <v>3.76</v>
      </c>
      <c r="I1816" s="8">
        <f t="shared" si="106"/>
        <v>11.103671039999998</v>
      </c>
      <c r="K1816" s="8">
        <f t="shared" si="109"/>
        <v>53.303125798164011</v>
      </c>
      <c r="L1816" s="8">
        <f t="shared" si="105"/>
        <v>26.651562899082005</v>
      </c>
    </row>
    <row r="1817" spans="1:13" x14ac:dyDescent="0.25">
      <c r="A1817" s="1">
        <v>1818</v>
      </c>
      <c r="B1817" s="1">
        <v>4</v>
      </c>
      <c r="C1817" s="3" t="s">
        <v>48</v>
      </c>
      <c r="D1817" s="6" t="s">
        <v>18</v>
      </c>
      <c r="E1817" s="10">
        <v>3.98</v>
      </c>
      <c r="F1817" s="10">
        <v>21</v>
      </c>
      <c r="G1817" s="10">
        <v>20</v>
      </c>
      <c r="H1817" s="10">
        <v>4.2</v>
      </c>
      <c r="I1817" s="8">
        <f t="shared" si="106"/>
        <v>13.854456000000001</v>
      </c>
      <c r="K1817" s="8">
        <f t="shared" si="109"/>
        <v>58.615470315168309</v>
      </c>
      <c r="L1817" s="8">
        <f t="shared" si="105"/>
        <v>29.307735157584155</v>
      </c>
      <c r="M1817" s="7">
        <f>SUM(L1809:L1817)</f>
        <v>349.38993044556713</v>
      </c>
    </row>
    <row r="1818" spans="1:13" x14ac:dyDescent="0.25">
      <c r="A1818" s="1">
        <v>1820</v>
      </c>
      <c r="B1818" s="1">
        <v>1</v>
      </c>
      <c r="C1818" s="3" t="s">
        <v>57</v>
      </c>
      <c r="D1818" s="2" t="s">
        <v>40</v>
      </c>
      <c r="E1818" s="10">
        <v>5</v>
      </c>
      <c r="F1818" s="10">
        <v>31</v>
      </c>
      <c r="G1818" s="10">
        <v>26</v>
      </c>
      <c r="H1818" s="10">
        <v>4.76</v>
      </c>
      <c r="I1818" s="8">
        <f>0.7854*H1818^2</f>
        <v>17.795279039999997</v>
      </c>
      <c r="K1818" s="8">
        <f>EXP(-2.286 + 2.471 * LN(G1818))</f>
        <v>318.86140632615997</v>
      </c>
      <c r="L1818" s="8">
        <f t="shared" si="105"/>
        <v>159.43070316307998</v>
      </c>
      <c r="M1818" s="7">
        <f>SUM(L1818)</f>
        <v>159.43070316307998</v>
      </c>
    </row>
    <row r="1819" spans="1:13" x14ac:dyDescent="0.25">
      <c r="A1819" s="1">
        <v>1821</v>
      </c>
      <c r="B1819" s="1">
        <v>1</v>
      </c>
      <c r="C1819" s="3" t="s">
        <v>3</v>
      </c>
      <c r="D1819" s="5" t="s">
        <v>24</v>
      </c>
      <c r="E1819" s="13">
        <v>7.9</v>
      </c>
      <c r="F1819" s="13">
        <v>24.72</v>
      </c>
      <c r="G1819" s="10">
        <v>21.72</v>
      </c>
      <c r="H1819" s="10">
        <v>4</v>
      </c>
      <c r="I1819" s="8">
        <f t="shared" si="106"/>
        <v>12.5664</v>
      </c>
      <c r="J1819">
        <f>0.7854*(F1819)^2</f>
        <v>479.94097535999998</v>
      </c>
      <c r="K1819" s="8">
        <f>6.64+0.279*(J1819)+0.000514*(J1819)^2</f>
        <v>258.94000879780714</v>
      </c>
      <c r="L1819" s="8">
        <f>K1819*0.5</f>
        <v>129.47000439890357</v>
      </c>
    </row>
    <row r="1820" spans="1:13" x14ac:dyDescent="0.25">
      <c r="A1820" s="1">
        <v>1822</v>
      </c>
      <c r="B1820" s="1">
        <v>2</v>
      </c>
      <c r="C1820" s="3" t="s">
        <v>3</v>
      </c>
      <c r="D1820" s="5" t="s">
        <v>24</v>
      </c>
      <c r="E1820" s="13">
        <v>9</v>
      </c>
      <c r="F1820" s="13">
        <v>20.84</v>
      </c>
      <c r="G1820" s="10">
        <v>17.84</v>
      </c>
      <c r="H1820" s="10">
        <v>5</v>
      </c>
      <c r="I1820" s="8">
        <f t="shared" si="106"/>
        <v>19.634999999999998</v>
      </c>
      <c r="J1820">
        <f t="shared" ref="J1820:J1837" si="110">0.7854*(F1820)^2</f>
        <v>341.10361823999995</v>
      </c>
      <c r="K1820" s="8">
        <f t="shared" ref="K1820:K1846" si="111">6.64+0.279*(J1820)+0.000514*(J1820)^2</f>
        <v>161.61267217443969</v>
      </c>
      <c r="L1820" s="8">
        <f t="shared" ref="L1820:L1883" si="112">K1820*0.5</f>
        <v>80.806336087219847</v>
      </c>
    </row>
    <row r="1821" spans="1:13" x14ac:dyDescent="0.25">
      <c r="A1821" s="1">
        <v>1823</v>
      </c>
      <c r="B1821" s="1">
        <v>3</v>
      </c>
      <c r="C1821" s="3" t="s">
        <v>3</v>
      </c>
      <c r="D1821" s="5" t="s">
        <v>24</v>
      </c>
      <c r="E1821" s="13">
        <v>8.6999999999999993</v>
      </c>
      <c r="F1821" s="13">
        <v>19.62</v>
      </c>
      <c r="G1821" s="10">
        <v>16.62</v>
      </c>
      <c r="H1821" s="10">
        <v>4</v>
      </c>
      <c r="I1821" s="8">
        <f t="shared" si="106"/>
        <v>12.5664</v>
      </c>
      <c r="J1821">
        <f t="shared" si="110"/>
        <v>302.33533176000003</v>
      </c>
      <c r="K1821" s="8">
        <f t="shared" si="111"/>
        <v>137.97457711588066</v>
      </c>
      <c r="L1821" s="8">
        <f t="shared" si="112"/>
        <v>68.987288557940332</v>
      </c>
    </row>
    <row r="1822" spans="1:13" x14ac:dyDescent="0.25">
      <c r="A1822" s="1">
        <v>1824</v>
      </c>
      <c r="B1822" s="1">
        <v>4</v>
      </c>
      <c r="C1822" s="3" t="s">
        <v>3</v>
      </c>
      <c r="D1822" s="5" t="s">
        <v>24</v>
      </c>
      <c r="E1822" s="13">
        <v>6.7</v>
      </c>
      <c r="F1822" s="13">
        <v>23.11</v>
      </c>
      <c r="G1822" s="10">
        <v>20.11</v>
      </c>
      <c r="H1822" s="10">
        <v>6</v>
      </c>
      <c r="I1822" s="8">
        <f t="shared" si="106"/>
        <v>28.2744</v>
      </c>
      <c r="J1822">
        <f t="shared" si="110"/>
        <v>419.46022733999996</v>
      </c>
      <c r="K1822" s="8">
        <f t="shared" si="111"/>
        <v>214.10610094040396</v>
      </c>
      <c r="L1822" s="8">
        <f t="shared" si="112"/>
        <v>107.05305047020198</v>
      </c>
    </row>
    <row r="1823" spans="1:13" x14ac:dyDescent="0.25">
      <c r="A1823" s="1">
        <v>1825</v>
      </c>
      <c r="B1823" s="1">
        <v>5</v>
      </c>
      <c r="C1823" s="3" t="s">
        <v>3</v>
      </c>
      <c r="D1823" s="5" t="s">
        <v>24</v>
      </c>
      <c r="E1823" s="13">
        <v>5.0999999999999996</v>
      </c>
      <c r="F1823" s="13">
        <v>20.11</v>
      </c>
      <c r="G1823" s="10">
        <v>17.11</v>
      </c>
      <c r="H1823" s="10">
        <v>7</v>
      </c>
      <c r="I1823" s="8">
        <f t="shared" si="106"/>
        <v>38.4846</v>
      </c>
      <c r="J1823">
        <f t="shared" si="110"/>
        <v>317.62526333999995</v>
      </c>
      <c r="K1823" s="8">
        <f t="shared" si="111"/>
        <v>147.1127537385274</v>
      </c>
      <c r="L1823" s="8">
        <f t="shared" si="112"/>
        <v>73.556376869263701</v>
      </c>
    </row>
    <row r="1824" spans="1:13" x14ac:dyDescent="0.25">
      <c r="A1824" s="1">
        <v>1826</v>
      </c>
      <c r="B1824" s="1">
        <v>6</v>
      </c>
      <c r="C1824" s="3" t="s">
        <v>3</v>
      </c>
      <c r="D1824" s="5" t="s">
        <v>24</v>
      </c>
      <c r="E1824" s="13">
        <v>6.1</v>
      </c>
      <c r="F1824" s="13">
        <v>18.059999999999999</v>
      </c>
      <c r="G1824" s="10">
        <v>15.059999999999999</v>
      </c>
      <c r="H1824" s="10">
        <v>5</v>
      </c>
      <c r="I1824" s="8">
        <f t="shared" si="106"/>
        <v>19.634999999999998</v>
      </c>
      <c r="J1824">
        <f t="shared" si="110"/>
        <v>256.16889143999998</v>
      </c>
      <c r="K1824" s="8">
        <f t="shared" si="111"/>
        <v>111.84108619574164</v>
      </c>
      <c r="L1824" s="8">
        <f t="shared" si="112"/>
        <v>55.920543097870819</v>
      </c>
    </row>
    <row r="1825" spans="1:12" x14ac:dyDescent="0.25">
      <c r="A1825" s="1">
        <v>1827</v>
      </c>
      <c r="B1825" s="1">
        <v>7</v>
      </c>
      <c r="C1825" s="3" t="s">
        <v>3</v>
      </c>
      <c r="D1825" s="5" t="s">
        <v>24</v>
      </c>
      <c r="E1825" s="13">
        <v>6.8</v>
      </c>
      <c r="F1825" s="13">
        <v>19.75</v>
      </c>
      <c r="G1825" s="10">
        <v>16.75</v>
      </c>
      <c r="H1825" s="10">
        <v>4</v>
      </c>
      <c r="I1825" s="8">
        <f t="shared" si="106"/>
        <v>12.5664</v>
      </c>
      <c r="J1825">
        <f t="shared" si="110"/>
        <v>306.35508749999997</v>
      </c>
      <c r="K1825" s="8">
        <f t="shared" si="111"/>
        <v>140.35373738598616</v>
      </c>
      <c r="L1825" s="8">
        <f t="shared" si="112"/>
        <v>70.176868692993082</v>
      </c>
    </row>
    <row r="1826" spans="1:12" x14ac:dyDescent="0.25">
      <c r="A1826" s="1">
        <v>1828</v>
      </c>
      <c r="B1826" s="1">
        <v>8</v>
      </c>
      <c r="C1826" s="3" t="s">
        <v>3</v>
      </c>
      <c r="D1826" s="5" t="s">
        <v>24</v>
      </c>
      <c r="E1826" s="13">
        <v>7.6</v>
      </c>
      <c r="F1826" s="13">
        <v>19.010000000000002</v>
      </c>
      <c r="G1826" s="10">
        <v>16.010000000000002</v>
      </c>
      <c r="H1826" s="10">
        <v>5</v>
      </c>
      <c r="I1826" s="8">
        <f t="shared" si="106"/>
        <v>19.634999999999998</v>
      </c>
      <c r="J1826">
        <f t="shared" si="110"/>
        <v>283.82793054000007</v>
      </c>
      <c r="K1826" s="8">
        <f t="shared" si="111"/>
        <v>127.23495581613425</v>
      </c>
      <c r="L1826" s="8">
        <f t="shared" si="112"/>
        <v>63.617477908067123</v>
      </c>
    </row>
    <row r="1827" spans="1:12" x14ac:dyDescent="0.25">
      <c r="A1827" s="1">
        <v>1829</v>
      </c>
      <c r="B1827" s="1">
        <v>9</v>
      </c>
      <c r="C1827" s="3" t="s">
        <v>3</v>
      </c>
      <c r="D1827" s="5" t="s">
        <v>24</v>
      </c>
      <c r="E1827" s="13">
        <v>6.7</v>
      </c>
      <c r="F1827" s="13">
        <v>23.88</v>
      </c>
      <c r="G1827" s="10">
        <v>20.88</v>
      </c>
      <c r="H1827" s="10">
        <v>5.5</v>
      </c>
      <c r="I1827" s="8">
        <f t="shared" si="106"/>
        <v>23.75835</v>
      </c>
      <c r="J1827">
        <f t="shared" si="110"/>
        <v>447.87780575999994</v>
      </c>
      <c r="K1827" s="8">
        <f t="shared" si="111"/>
        <v>234.7034956577296</v>
      </c>
      <c r="L1827" s="8">
        <f t="shared" si="112"/>
        <v>117.3517478288648</v>
      </c>
    </row>
    <row r="1828" spans="1:12" x14ac:dyDescent="0.25">
      <c r="A1828" s="1">
        <v>1830</v>
      </c>
      <c r="B1828" s="1">
        <v>10</v>
      </c>
      <c r="C1828" s="3" t="s">
        <v>3</v>
      </c>
      <c r="D1828" s="5" t="s">
        <v>24</v>
      </c>
      <c r="E1828" s="13">
        <v>8.5</v>
      </c>
      <c r="F1828" s="13">
        <v>23.6</v>
      </c>
      <c r="G1828" s="10">
        <v>20.6</v>
      </c>
      <c r="H1828" s="10">
        <v>5.0999999999999996</v>
      </c>
      <c r="I1828" s="8">
        <f t="shared" si="106"/>
        <v>20.428253999999999</v>
      </c>
      <c r="J1828">
        <f t="shared" si="110"/>
        <v>437.43638400000003</v>
      </c>
      <c r="K1828" s="8">
        <f t="shared" si="111"/>
        <v>227.0389544201557</v>
      </c>
      <c r="L1828" s="8">
        <f t="shared" si="112"/>
        <v>113.51947721007785</v>
      </c>
    </row>
    <row r="1829" spans="1:12" x14ac:dyDescent="0.25">
      <c r="A1829" s="1">
        <v>1831</v>
      </c>
      <c r="B1829" s="1">
        <v>11</v>
      </c>
      <c r="C1829" s="3" t="s">
        <v>3</v>
      </c>
      <c r="D1829" s="5" t="s">
        <v>24</v>
      </c>
      <c r="E1829" s="13">
        <v>5.9</v>
      </c>
      <c r="F1829" s="13">
        <v>21.46</v>
      </c>
      <c r="G1829" s="10">
        <v>18.46</v>
      </c>
      <c r="H1829" s="10">
        <v>7</v>
      </c>
      <c r="I1829" s="8">
        <f t="shared" si="106"/>
        <v>38.4846</v>
      </c>
      <c r="J1829">
        <f t="shared" si="110"/>
        <v>361.70151864000002</v>
      </c>
      <c r="K1829" s="8">
        <f t="shared" si="111"/>
        <v>174.8003098340119</v>
      </c>
      <c r="L1829" s="8">
        <f t="shared" si="112"/>
        <v>87.400154917005949</v>
      </c>
    </row>
    <row r="1830" spans="1:12" x14ac:dyDescent="0.25">
      <c r="A1830" s="1">
        <v>1832</v>
      </c>
      <c r="B1830" s="1">
        <v>12</v>
      </c>
      <c r="C1830" s="3" t="s">
        <v>3</v>
      </c>
      <c r="D1830" s="5" t="s">
        <v>24</v>
      </c>
      <c r="E1830" s="13">
        <v>7.7</v>
      </c>
      <c r="F1830" s="13">
        <v>23.08</v>
      </c>
      <c r="G1830" s="10">
        <v>20.079999999999998</v>
      </c>
      <c r="H1830" s="10">
        <v>7.4</v>
      </c>
      <c r="I1830" s="8">
        <f t="shared" si="106"/>
        <v>43.008504000000002</v>
      </c>
      <c r="J1830">
        <f t="shared" si="110"/>
        <v>418.37189855999992</v>
      </c>
      <c r="K1830" s="8">
        <f t="shared" si="111"/>
        <v>213.3337730876552</v>
      </c>
      <c r="L1830" s="8">
        <f t="shared" si="112"/>
        <v>106.6668865438276</v>
      </c>
    </row>
    <row r="1831" spans="1:12" x14ac:dyDescent="0.25">
      <c r="A1831" s="1">
        <v>1833</v>
      </c>
      <c r="B1831" s="1">
        <v>13</v>
      </c>
      <c r="C1831" s="3" t="s">
        <v>3</v>
      </c>
      <c r="D1831" s="5" t="s">
        <v>24</v>
      </c>
      <c r="E1831" s="13">
        <v>7.8</v>
      </c>
      <c r="F1831" s="13">
        <v>22.12</v>
      </c>
      <c r="G1831" s="10">
        <v>19.12</v>
      </c>
      <c r="H1831" s="10">
        <v>6.3</v>
      </c>
      <c r="I1831" s="8">
        <f t="shared" si="106"/>
        <v>31.172525999999998</v>
      </c>
      <c r="J1831">
        <f t="shared" si="110"/>
        <v>384.29182176000006</v>
      </c>
      <c r="K1831" s="8">
        <f t="shared" si="111"/>
        <v>189.76504326665253</v>
      </c>
      <c r="L1831" s="8">
        <f t="shared" si="112"/>
        <v>94.882521633326263</v>
      </c>
    </row>
    <row r="1832" spans="1:12" x14ac:dyDescent="0.25">
      <c r="A1832" s="1">
        <v>1834</v>
      </c>
      <c r="B1832" s="1">
        <v>14</v>
      </c>
      <c r="C1832" s="3" t="s">
        <v>3</v>
      </c>
      <c r="D1832" s="5" t="s">
        <v>24</v>
      </c>
      <c r="E1832" s="13">
        <v>6.5</v>
      </c>
      <c r="F1832" s="13">
        <v>24.22</v>
      </c>
      <c r="G1832" s="10">
        <v>21.22</v>
      </c>
      <c r="H1832" s="10">
        <v>7.2</v>
      </c>
      <c r="I1832" s="8">
        <f t="shared" si="106"/>
        <v>40.715136000000001</v>
      </c>
      <c r="J1832">
        <f t="shared" si="110"/>
        <v>460.72223735999995</v>
      </c>
      <c r="K1832" s="8">
        <f t="shared" si="111"/>
        <v>244.2857039424141</v>
      </c>
      <c r="L1832" s="8">
        <f t="shared" si="112"/>
        <v>122.14285197120705</v>
      </c>
    </row>
    <row r="1833" spans="1:12" x14ac:dyDescent="0.25">
      <c r="A1833" s="1">
        <v>1835</v>
      </c>
      <c r="B1833" s="1">
        <v>15</v>
      </c>
      <c r="C1833" s="3" t="s">
        <v>3</v>
      </c>
      <c r="D1833" s="5" t="s">
        <v>24</v>
      </c>
      <c r="E1833" s="13">
        <v>8.6</v>
      </c>
      <c r="F1833" s="13">
        <v>22.09</v>
      </c>
      <c r="G1833" s="10">
        <v>19.09</v>
      </c>
      <c r="H1833" s="10">
        <v>7.8</v>
      </c>
      <c r="I1833" s="8">
        <f t="shared" si="106"/>
        <v>47.783735999999998</v>
      </c>
      <c r="J1833">
        <f t="shared" si="110"/>
        <v>383.25014573999999</v>
      </c>
      <c r="K1833" s="8">
        <f t="shared" si="111"/>
        <v>189.06345720526184</v>
      </c>
      <c r="L1833" s="8">
        <f t="shared" si="112"/>
        <v>94.53172860263092</v>
      </c>
    </row>
    <row r="1834" spans="1:12" x14ac:dyDescent="0.25">
      <c r="A1834" s="1">
        <v>1836</v>
      </c>
      <c r="B1834" s="1">
        <v>16</v>
      </c>
      <c r="C1834" s="3" t="s">
        <v>3</v>
      </c>
      <c r="D1834" s="5" t="s">
        <v>24</v>
      </c>
      <c r="E1834" s="13">
        <v>7.4</v>
      </c>
      <c r="F1834" s="13">
        <v>24.44</v>
      </c>
      <c r="G1834" s="10">
        <v>21.44</v>
      </c>
      <c r="H1834" s="10">
        <v>6</v>
      </c>
      <c r="I1834" s="8">
        <f t="shared" si="106"/>
        <v>28.2744</v>
      </c>
      <c r="J1834">
        <f t="shared" si="110"/>
        <v>469.13010144000003</v>
      </c>
      <c r="K1834" s="8">
        <f t="shared" si="111"/>
        <v>250.64998706939184</v>
      </c>
      <c r="L1834" s="8">
        <f t="shared" si="112"/>
        <v>125.32499353469592</v>
      </c>
    </row>
    <row r="1835" spans="1:12" x14ac:dyDescent="0.25">
      <c r="A1835" s="1">
        <v>1837</v>
      </c>
      <c r="B1835" s="1">
        <v>17</v>
      </c>
      <c r="C1835" s="3" t="s">
        <v>3</v>
      </c>
      <c r="D1835" s="5" t="s">
        <v>24</v>
      </c>
      <c r="E1835" s="13">
        <v>7.7</v>
      </c>
      <c r="F1835" s="13">
        <v>23.86</v>
      </c>
      <c r="G1835" s="10">
        <v>20.86</v>
      </c>
      <c r="H1835" s="10">
        <v>4.7</v>
      </c>
      <c r="I1835" s="8">
        <f t="shared" si="106"/>
        <v>17.349486000000002</v>
      </c>
      <c r="J1835">
        <f t="shared" si="110"/>
        <v>447.12790583999993</v>
      </c>
      <c r="K1835" s="8">
        <f t="shared" si="111"/>
        <v>234.14929491832402</v>
      </c>
      <c r="L1835" s="8">
        <f t="shared" si="112"/>
        <v>117.07464745916201</v>
      </c>
    </row>
    <row r="1836" spans="1:12" x14ac:dyDescent="0.25">
      <c r="A1836" s="1">
        <v>1838</v>
      </c>
      <c r="B1836" s="1">
        <v>18</v>
      </c>
      <c r="C1836" s="3" t="s">
        <v>3</v>
      </c>
      <c r="D1836" s="5" t="s">
        <v>24</v>
      </c>
      <c r="E1836" s="13">
        <v>5.8</v>
      </c>
      <c r="F1836" s="13">
        <v>23.47</v>
      </c>
      <c r="G1836" s="10">
        <v>20.47</v>
      </c>
      <c r="H1836" s="10">
        <v>4.3</v>
      </c>
      <c r="I1836" s="8">
        <f t="shared" si="106"/>
        <v>14.522045999999998</v>
      </c>
      <c r="J1836">
        <f t="shared" si="110"/>
        <v>432.6304428599999</v>
      </c>
      <c r="K1836" s="8">
        <f t="shared" si="111"/>
        <v>223.54881100380916</v>
      </c>
      <c r="L1836" s="8">
        <f t="shared" si="112"/>
        <v>111.77440550190458</v>
      </c>
    </row>
    <row r="1837" spans="1:12" x14ac:dyDescent="0.25">
      <c r="A1837" s="1">
        <v>1839</v>
      </c>
      <c r="B1837" s="1">
        <v>19</v>
      </c>
      <c r="C1837" s="3" t="s">
        <v>3</v>
      </c>
      <c r="D1837" s="5" t="s">
        <v>24</v>
      </c>
      <c r="E1837" s="13">
        <v>8.8000000000000007</v>
      </c>
      <c r="F1837" s="13">
        <v>18.559999999999999</v>
      </c>
      <c r="G1837" s="10">
        <v>15.559999999999999</v>
      </c>
      <c r="H1837" s="10">
        <v>4.0999999999999996</v>
      </c>
      <c r="I1837" s="8">
        <f t="shared" si="106"/>
        <v>13.202573999999998</v>
      </c>
      <c r="J1837">
        <f t="shared" si="110"/>
        <v>270.54956543999998</v>
      </c>
      <c r="K1837" s="8">
        <f>6.64+0.279*(J1837)+0.000514*(J1837)^2</f>
        <v>119.74662138068325</v>
      </c>
      <c r="L1837" s="8">
        <f t="shared" si="112"/>
        <v>59.873310690341626</v>
      </c>
    </row>
    <row r="1838" spans="1:12" x14ac:dyDescent="0.25">
      <c r="A1838" s="1">
        <v>1840</v>
      </c>
      <c r="B1838" s="1">
        <v>20</v>
      </c>
      <c r="C1838" s="3" t="s">
        <v>3</v>
      </c>
      <c r="D1838" s="5" t="s">
        <v>24</v>
      </c>
      <c r="E1838" s="10">
        <v>2.69</v>
      </c>
      <c r="F1838" s="10">
        <v>11</v>
      </c>
      <c r="G1838" s="10">
        <v>7</v>
      </c>
      <c r="H1838" s="10">
        <v>3</v>
      </c>
      <c r="I1838" s="8">
        <f t="shared" si="106"/>
        <v>7.0686</v>
      </c>
      <c r="J1838">
        <f t="shared" ref="J1838:J1847" si="113">0.7854*(F1838)^2</f>
        <v>95.0334</v>
      </c>
      <c r="K1838" s="8">
        <f t="shared" si="111"/>
        <v>37.796431017397843</v>
      </c>
      <c r="L1838" s="8">
        <f t="shared" si="112"/>
        <v>18.898215508698922</v>
      </c>
    </row>
    <row r="1839" spans="1:12" x14ac:dyDescent="0.25">
      <c r="A1839" s="1">
        <v>1841</v>
      </c>
      <c r="B1839" s="1">
        <v>21</v>
      </c>
      <c r="C1839" s="3" t="s">
        <v>3</v>
      </c>
      <c r="D1839" s="5" t="s">
        <v>24</v>
      </c>
      <c r="E1839" s="10">
        <v>2.29</v>
      </c>
      <c r="F1839" s="10">
        <v>6</v>
      </c>
      <c r="G1839" s="10">
        <v>5</v>
      </c>
      <c r="H1839" s="10">
        <v>3.5</v>
      </c>
      <c r="I1839" s="8">
        <f t="shared" si="106"/>
        <v>9.6211500000000001</v>
      </c>
      <c r="J1839">
        <f>0.7854*(F1839)^2</f>
        <v>28.2744</v>
      </c>
      <c r="K1839" s="8">
        <f t="shared" si="111"/>
        <v>14.939470631415039</v>
      </c>
      <c r="L1839" s="8">
        <f t="shared" si="112"/>
        <v>7.4697353157075197</v>
      </c>
    </row>
    <row r="1840" spans="1:12" x14ac:dyDescent="0.25">
      <c r="A1840" s="1">
        <v>1842</v>
      </c>
      <c r="B1840" s="1">
        <v>22</v>
      </c>
      <c r="C1840" s="3" t="s">
        <v>3</v>
      </c>
      <c r="D1840" s="5" t="s">
        <v>24</v>
      </c>
      <c r="E1840" s="10">
        <v>1.96</v>
      </c>
      <c r="F1840" s="10">
        <v>5</v>
      </c>
      <c r="G1840" s="10">
        <v>3</v>
      </c>
      <c r="H1840" s="10">
        <v>2.2000000000000002</v>
      </c>
      <c r="I1840" s="8">
        <f t="shared" si="106"/>
        <v>3.8013360000000005</v>
      </c>
      <c r="J1840">
        <f t="shared" si="113"/>
        <v>19.634999999999998</v>
      </c>
      <c r="K1840" s="8">
        <f t="shared" si="111"/>
        <v>12.31632907765</v>
      </c>
      <c r="L1840" s="8">
        <f t="shared" si="112"/>
        <v>6.1581645388249999</v>
      </c>
    </row>
    <row r="1841" spans="1:13" x14ac:dyDescent="0.25">
      <c r="A1841" s="1">
        <v>1843</v>
      </c>
      <c r="B1841" s="1">
        <v>23</v>
      </c>
      <c r="C1841" s="3" t="s">
        <v>3</v>
      </c>
      <c r="D1841" s="5" t="s">
        <v>24</v>
      </c>
      <c r="E1841" s="10">
        <v>2.39</v>
      </c>
      <c r="F1841" s="10">
        <v>9</v>
      </c>
      <c r="G1841" s="10">
        <v>7</v>
      </c>
      <c r="H1841" s="10">
        <v>2.7</v>
      </c>
      <c r="I1841" s="8">
        <f t="shared" si="106"/>
        <v>5.7255660000000006</v>
      </c>
      <c r="J1841">
        <f t="shared" si="113"/>
        <v>63.617399999999996</v>
      </c>
      <c r="K1841" s="8">
        <f t="shared" si="111"/>
        <v>26.469501821538643</v>
      </c>
      <c r="L1841" s="8">
        <f t="shared" si="112"/>
        <v>13.234750910769321</v>
      </c>
    </row>
    <row r="1842" spans="1:13" x14ac:dyDescent="0.25">
      <c r="A1842" s="1">
        <v>1844</v>
      </c>
      <c r="B1842" s="1">
        <v>24</v>
      </c>
      <c r="C1842" s="3" t="s">
        <v>3</v>
      </c>
      <c r="D1842" s="5" t="s">
        <v>24</v>
      </c>
      <c r="E1842" s="10">
        <v>2.71</v>
      </c>
      <c r="F1842" s="10">
        <v>8</v>
      </c>
      <c r="G1842" s="10">
        <v>6</v>
      </c>
      <c r="H1842" s="10">
        <v>4</v>
      </c>
      <c r="I1842" s="8">
        <f t="shared" si="106"/>
        <v>12.5664</v>
      </c>
      <c r="J1842">
        <f t="shared" si="113"/>
        <v>50.265599999999999</v>
      </c>
      <c r="K1842" s="8">
        <f t="shared" si="111"/>
        <v>21.962790499287042</v>
      </c>
      <c r="L1842" s="8">
        <f t="shared" si="112"/>
        <v>10.981395249643521</v>
      </c>
    </row>
    <row r="1843" spans="1:13" x14ac:dyDescent="0.25">
      <c r="A1843" s="1">
        <v>1845</v>
      </c>
      <c r="B1843" s="1">
        <v>25</v>
      </c>
      <c r="C1843" s="3" t="s">
        <v>3</v>
      </c>
      <c r="D1843" s="5" t="s">
        <v>24</v>
      </c>
      <c r="E1843" s="10">
        <v>2.1800000000000002</v>
      </c>
      <c r="F1843" s="10">
        <v>7</v>
      </c>
      <c r="G1843" s="10">
        <v>5</v>
      </c>
      <c r="H1843" s="10">
        <v>3.2</v>
      </c>
      <c r="I1843" s="8">
        <f t="shared" si="106"/>
        <v>8.0424960000000016</v>
      </c>
      <c r="J1843">
        <f t="shared" si="113"/>
        <v>38.4846</v>
      </c>
      <c r="K1843" s="8">
        <f t="shared" si="111"/>
        <v>18.138470520700238</v>
      </c>
      <c r="L1843" s="8">
        <f t="shared" si="112"/>
        <v>9.0692352603501192</v>
      </c>
    </row>
    <row r="1844" spans="1:13" x14ac:dyDescent="0.25">
      <c r="A1844" s="1">
        <v>1846</v>
      </c>
      <c r="B1844" s="1">
        <v>26</v>
      </c>
      <c r="C1844" s="3" t="s">
        <v>3</v>
      </c>
      <c r="D1844" s="5" t="s">
        <v>24</v>
      </c>
      <c r="E1844" s="10">
        <v>2.93</v>
      </c>
      <c r="F1844" s="10">
        <v>7</v>
      </c>
      <c r="G1844" s="10">
        <v>5</v>
      </c>
      <c r="H1844" s="10">
        <v>3.3</v>
      </c>
      <c r="I1844" s="8">
        <f t="shared" si="106"/>
        <v>8.5530059999999981</v>
      </c>
      <c r="J1844">
        <f t="shared" si="113"/>
        <v>38.4846</v>
      </c>
      <c r="K1844" s="8">
        <f t="shared" si="111"/>
        <v>18.138470520700238</v>
      </c>
      <c r="L1844" s="8">
        <f t="shared" si="112"/>
        <v>9.0692352603501192</v>
      </c>
    </row>
    <row r="1845" spans="1:13" x14ac:dyDescent="0.25">
      <c r="A1845" s="1">
        <v>1847</v>
      </c>
      <c r="B1845" s="1">
        <v>27</v>
      </c>
      <c r="C1845" s="3" t="s">
        <v>3</v>
      </c>
      <c r="D1845" s="5" t="s">
        <v>24</v>
      </c>
      <c r="E1845" s="10">
        <v>1.75</v>
      </c>
      <c r="F1845" s="10">
        <v>8</v>
      </c>
      <c r="G1845" s="10">
        <v>6</v>
      </c>
      <c r="H1845" s="10">
        <v>2.9</v>
      </c>
      <c r="I1845" s="8">
        <f t="shared" si="106"/>
        <v>6.6052140000000001</v>
      </c>
      <c r="J1845">
        <f t="shared" si="113"/>
        <v>50.265599999999999</v>
      </c>
      <c r="K1845" s="8">
        <f t="shared" si="111"/>
        <v>21.962790499287042</v>
      </c>
      <c r="L1845" s="8">
        <f t="shared" si="112"/>
        <v>10.981395249643521</v>
      </c>
    </row>
    <row r="1846" spans="1:13" x14ac:dyDescent="0.25">
      <c r="A1846" s="1">
        <v>1848</v>
      </c>
      <c r="B1846" s="1">
        <v>28</v>
      </c>
      <c r="C1846" s="3" t="s">
        <v>3</v>
      </c>
      <c r="D1846" s="5" t="s">
        <v>24</v>
      </c>
      <c r="E1846" s="10">
        <v>2.25</v>
      </c>
      <c r="F1846" s="10">
        <v>9</v>
      </c>
      <c r="G1846" s="10">
        <v>7</v>
      </c>
      <c r="H1846" s="10">
        <v>3.2</v>
      </c>
      <c r="I1846" s="8">
        <f t="shared" si="106"/>
        <v>8.0424960000000016</v>
      </c>
      <c r="J1846">
        <f t="shared" si="113"/>
        <v>63.617399999999996</v>
      </c>
      <c r="K1846" s="8">
        <f t="shared" si="111"/>
        <v>26.469501821538643</v>
      </c>
      <c r="L1846" s="8">
        <f t="shared" si="112"/>
        <v>13.234750910769321</v>
      </c>
    </row>
    <row r="1847" spans="1:13" x14ac:dyDescent="0.25">
      <c r="A1847" s="1">
        <v>1849</v>
      </c>
      <c r="B1847" s="1">
        <v>29</v>
      </c>
      <c r="C1847" s="3" t="s">
        <v>3</v>
      </c>
      <c r="D1847" s="5" t="s">
        <v>24</v>
      </c>
      <c r="E1847" s="10">
        <v>1.71</v>
      </c>
      <c r="F1847" s="10">
        <v>10</v>
      </c>
      <c r="G1847" s="10">
        <v>8</v>
      </c>
      <c r="H1847" s="10">
        <v>3.4</v>
      </c>
      <c r="I1847" s="8">
        <f t="shared" si="106"/>
        <v>9.0792239999999982</v>
      </c>
      <c r="J1847">
        <f t="shared" si="113"/>
        <v>78.539999999999992</v>
      </c>
      <c r="K1847" s="8">
        <f>6.64+0.279*(J1847)+0.000514*(J1847)^2</f>
        <v>31.723285242399999</v>
      </c>
      <c r="L1847" s="8">
        <f t="shared" si="112"/>
        <v>15.8616426212</v>
      </c>
      <c r="M1847" s="7">
        <f>SUM(L1819:L1847)</f>
        <v>1915.0891928014623</v>
      </c>
    </row>
    <row r="1848" spans="1:13" x14ac:dyDescent="0.25">
      <c r="A1848" s="1">
        <v>1850</v>
      </c>
      <c r="B1848" s="1">
        <v>1</v>
      </c>
      <c r="C1848" s="3" t="s">
        <v>11</v>
      </c>
      <c r="D1848" s="5" t="s">
        <v>30</v>
      </c>
      <c r="E1848" s="10">
        <v>12</v>
      </c>
      <c r="F1848" s="10">
        <v>32</v>
      </c>
      <c r="G1848" s="10">
        <v>27</v>
      </c>
      <c r="H1848" s="10">
        <v>6</v>
      </c>
      <c r="I1848" s="8">
        <f t="shared" si="106"/>
        <v>28.2744</v>
      </c>
      <c r="K1848" s="8">
        <f>EXP(-1.716)*(G1848)^2.413</f>
        <v>511.24777622655694</v>
      </c>
      <c r="L1848" s="8">
        <f t="shared" si="112"/>
        <v>255.62388811327847</v>
      </c>
    </row>
    <row r="1849" spans="1:13" x14ac:dyDescent="0.25">
      <c r="A1849" s="1">
        <v>1851</v>
      </c>
      <c r="B1849" s="1">
        <v>2</v>
      </c>
      <c r="C1849" s="3" t="s">
        <v>11</v>
      </c>
      <c r="D1849" s="5" t="s">
        <v>30</v>
      </c>
      <c r="E1849" s="10">
        <v>16</v>
      </c>
      <c r="F1849" s="10">
        <v>23</v>
      </c>
      <c r="G1849" s="10">
        <v>20</v>
      </c>
      <c r="H1849" s="10">
        <v>5</v>
      </c>
      <c r="I1849" s="8">
        <f t="shared" si="106"/>
        <v>19.634999999999998</v>
      </c>
      <c r="K1849" s="8">
        <f>EXP(-1.716)*(G1849)^2.413</f>
        <v>247.81982650064245</v>
      </c>
      <c r="L1849" s="8">
        <f t="shared" si="112"/>
        <v>123.90991325032122</v>
      </c>
      <c r="M1849" s="7">
        <f>SUM(L1848:L1849)</f>
        <v>379.53380136359971</v>
      </c>
    </row>
    <row r="1850" spans="1:13" x14ac:dyDescent="0.25">
      <c r="A1850" s="1">
        <v>1852</v>
      </c>
      <c r="B1850" s="1">
        <v>1</v>
      </c>
      <c r="C1850" s="3" t="s">
        <v>55</v>
      </c>
      <c r="D1850" t="s">
        <v>38</v>
      </c>
      <c r="E1850" s="13">
        <v>2.9</v>
      </c>
      <c r="F1850" s="13">
        <v>16.5</v>
      </c>
      <c r="G1850" s="10">
        <v>12.5</v>
      </c>
      <c r="H1850" s="13">
        <v>2.9</v>
      </c>
      <c r="I1850" s="8">
        <f t="shared" si="106"/>
        <v>6.6052140000000001</v>
      </c>
      <c r="K1850" s="2">
        <f xml:space="preserve"> -0.0927+0.0203*(G1850*G1850)</f>
        <v>3.0791750000000002</v>
      </c>
      <c r="L1850" s="8">
        <f t="shared" si="112"/>
        <v>1.5395875000000001</v>
      </c>
    </row>
    <row r="1851" spans="1:13" x14ac:dyDescent="0.25">
      <c r="A1851" s="1">
        <v>1853</v>
      </c>
      <c r="B1851" s="1">
        <v>2</v>
      </c>
      <c r="C1851" s="3" t="s">
        <v>55</v>
      </c>
      <c r="D1851" t="s">
        <v>38</v>
      </c>
      <c r="E1851" s="13">
        <v>3.7</v>
      </c>
      <c r="F1851" s="13">
        <v>15.8</v>
      </c>
      <c r="G1851" s="10">
        <v>11.8</v>
      </c>
      <c r="H1851" s="13">
        <v>1.1000000000000001</v>
      </c>
      <c r="I1851" s="8">
        <f t="shared" si="106"/>
        <v>0.95033400000000012</v>
      </c>
      <c r="K1851" s="2">
        <f t="shared" ref="K1851:K1888" si="114" xml:space="preserve"> -0.0927+0.0203*(G1851*G1851)</f>
        <v>2.7338719999999999</v>
      </c>
      <c r="L1851" s="8">
        <f t="shared" si="112"/>
        <v>1.3669359999999999</v>
      </c>
    </row>
    <row r="1852" spans="1:13" x14ac:dyDescent="0.25">
      <c r="A1852" s="1">
        <v>1854</v>
      </c>
      <c r="B1852" s="1">
        <v>3</v>
      </c>
      <c r="C1852" s="3" t="s">
        <v>55</v>
      </c>
      <c r="D1852" t="s">
        <v>38</v>
      </c>
      <c r="E1852" s="13">
        <v>2.2000000000000002</v>
      </c>
      <c r="F1852" s="13">
        <v>23.6</v>
      </c>
      <c r="G1852" s="10">
        <v>19.600000000000001</v>
      </c>
      <c r="H1852" s="13">
        <v>2.7</v>
      </c>
      <c r="I1852" s="8">
        <f t="shared" si="106"/>
        <v>5.7255660000000006</v>
      </c>
      <c r="K1852" s="2">
        <f t="shared" si="114"/>
        <v>7.7057480000000016</v>
      </c>
      <c r="L1852" s="8">
        <f t="shared" si="112"/>
        <v>3.8528740000000008</v>
      </c>
    </row>
    <row r="1853" spans="1:13" x14ac:dyDescent="0.25">
      <c r="A1853" s="1">
        <v>1855</v>
      </c>
      <c r="B1853" s="1">
        <v>4</v>
      </c>
      <c r="C1853" s="3" t="s">
        <v>55</v>
      </c>
      <c r="D1853" t="s">
        <v>38</v>
      </c>
      <c r="E1853" s="13">
        <v>4</v>
      </c>
      <c r="F1853" s="13">
        <v>17.3</v>
      </c>
      <c r="G1853" s="10">
        <v>13.3</v>
      </c>
      <c r="H1853" s="13">
        <v>1.7</v>
      </c>
      <c r="I1853" s="8">
        <f t="shared" si="106"/>
        <v>2.2698059999999995</v>
      </c>
      <c r="K1853" s="2">
        <f t="shared" si="114"/>
        <v>3.4981670000000005</v>
      </c>
      <c r="L1853" s="8">
        <f t="shared" si="112"/>
        <v>1.7490835000000002</v>
      </c>
    </row>
    <row r="1854" spans="1:13" x14ac:dyDescent="0.25">
      <c r="A1854" s="1">
        <v>1856</v>
      </c>
      <c r="B1854" s="1">
        <v>5</v>
      </c>
      <c r="C1854" s="3" t="s">
        <v>55</v>
      </c>
      <c r="D1854" t="s">
        <v>38</v>
      </c>
      <c r="E1854" s="13">
        <v>4</v>
      </c>
      <c r="F1854" s="13">
        <v>23.4</v>
      </c>
      <c r="G1854" s="10">
        <v>19.399999999999999</v>
      </c>
      <c r="H1854" s="13">
        <v>2.7</v>
      </c>
      <c r="I1854" s="8">
        <f t="shared" si="106"/>
        <v>5.7255660000000006</v>
      </c>
      <c r="K1854" s="2">
        <f t="shared" si="114"/>
        <v>7.547407999999999</v>
      </c>
      <c r="L1854" s="8">
        <f t="shared" si="112"/>
        <v>3.7737039999999995</v>
      </c>
    </row>
    <row r="1855" spans="1:13" x14ac:dyDescent="0.25">
      <c r="A1855" s="1">
        <v>1857</v>
      </c>
      <c r="B1855" s="1">
        <v>6</v>
      </c>
      <c r="C1855" s="3" t="s">
        <v>55</v>
      </c>
      <c r="D1855" t="s">
        <v>38</v>
      </c>
      <c r="E1855" s="13">
        <v>2.5</v>
      </c>
      <c r="F1855" s="13">
        <v>15</v>
      </c>
      <c r="G1855" s="10">
        <v>11</v>
      </c>
      <c r="H1855" s="13">
        <v>1.6</v>
      </c>
      <c r="I1855" s="8">
        <f t="shared" si="106"/>
        <v>2.0106240000000004</v>
      </c>
      <c r="K1855" s="2">
        <f t="shared" si="114"/>
        <v>2.3635999999999999</v>
      </c>
      <c r="L1855" s="8">
        <f t="shared" si="112"/>
        <v>1.1818</v>
      </c>
    </row>
    <row r="1856" spans="1:13" x14ac:dyDescent="0.25">
      <c r="A1856" s="1">
        <v>1858</v>
      </c>
      <c r="B1856" s="1">
        <v>7</v>
      </c>
      <c r="C1856" s="3" t="s">
        <v>55</v>
      </c>
      <c r="D1856" t="s">
        <v>38</v>
      </c>
      <c r="E1856" s="13">
        <v>2.6</v>
      </c>
      <c r="F1856" s="13">
        <v>10.9</v>
      </c>
      <c r="G1856" s="10">
        <v>6.9</v>
      </c>
      <c r="H1856" s="13">
        <v>1.8</v>
      </c>
      <c r="I1856" s="8">
        <f t="shared" ref="I1856:I1909" si="115">0.7854*H1856^2</f>
        <v>2.5446960000000001</v>
      </c>
      <c r="K1856" s="2">
        <f t="shared" si="114"/>
        <v>0.87378300000000009</v>
      </c>
      <c r="L1856" s="8">
        <f t="shared" si="112"/>
        <v>0.43689150000000004</v>
      </c>
    </row>
    <row r="1857" spans="1:12" x14ac:dyDescent="0.25">
      <c r="A1857" s="1">
        <v>1859</v>
      </c>
      <c r="B1857" s="1">
        <v>8</v>
      </c>
      <c r="C1857" s="3" t="s">
        <v>55</v>
      </c>
      <c r="D1857" t="s">
        <v>38</v>
      </c>
      <c r="E1857" s="13">
        <v>3.1</v>
      </c>
      <c r="F1857" s="13">
        <v>12.7</v>
      </c>
      <c r="G1857" s="10">
        <v>8.6999999999999993</v>
      </c>
      <c r="H1857" s="13">
        <v>1.5</v>
      </c>
      <c r="I1857" s="8">
        <f t="shared" si="115"/>
        <v>1.76715</v>
      </c>
      <c r="K1857" s="2">
        <f t="shared" si="114"/>
        <v>1.4438069999999996</v>
      </c>
      <c r="L1857" s="8">
        <f t="shared" si="112"/>
        <v>0.72190349999999981</v>
      </c>
    </row>
    <row r="1858" spans="1:12" x14ac:dyDescent="0.25">
      <c r="A1858" s="1">
        <v>1860</v>
      </c>
      <c r="B1858" s="1">
        <v>9</v>
      </c>
      <c r="C1858" s="3" t="s">
        <v>55</v>
      </c>
      <c r="D1858" t="s">
        <v>38</v>
      </c>
      <c r="E1858" s="13">
        <v>2.2000000000000002</v>
      </c>
      <c r="F1858" s="13">
        <v>9</v>
      </c>
      <c r="G1858" s="10">
        <v>5</v>
      </c>
      <c r="H1858" s="13">
        <v>1</v>
      </c>
      <c r="I1858" s="8">
        <f t="shared" si="115"/>
        <v>0.78539999999999999</v>
      </c>
      <c r="K1858" s="2">
        <f t="shared" si="114"/>
        <v>0.41479999999999995</v>
      </c>
      <c r="L1858" s="8">
        <f t="shared" si="112"/>
        <v>0.20739999999999997</v>
      </c>
    </row>
    <row r="1859" spans="1:12" x14ac:dyDescent="0.25">
      <c r="A1859" s="1">
        <v>1861</v>
      </c>
      <c r="B1859" s="1">
        <v>10</v>
      </c>
      <c r="C1859" s="3" t="s">
        <v>55</v>
      </c>
      <c r="D1859" t="s">
        <v>38</v>
      </c>
      <c r="E1859" s="13">
        <v>3.5</v>
      </c>
      <c r="F1859" s="13">
        <v>10.5</v>
      </c>
      <c r="G1859" s="10">
        <v>6.5</v>
      </c>
      <c r="H1859" s="13">
        <v>2</v>
      </c>
      <c r="I1859" s="8">
        <f t="shared" si="115"/>
        <v>3.1415999999999999</v>
      </c>
      <c r="K1859" s="2">
        <f t="shared" si="114"/>
        <v>0.76497499999999996</v>
      </c>
      <c r="L1859" s="8">
        <f t="shared" si="112"/>
        <v>0.38248749999999998</v>
      </c>
    </row>
    <row r="1860" spans="1:12" x14ac:dyDescent="0.25">
      <c r="A1860" s="1">
        <v>1862</v>
      </c>
      <c r="B1860" s="1">
        <v>11</v>
      </c>
      <c r="C1860" s="3" t="s">
        <v>55</v>
      </c>
      <c r="D1860" t="s">
        <v>38</v>
      </c>
      <c r="E1860" s="13">
        <v>3</v>
      </c>
      <c r="F1860" s="13">
        <v>17.600000000000001</v>
      </c>
      <c r="G1860" s="10">
        <v>13.600000000000001</v>
      </c>
      <c r="H1860" s="13">
        <v>1.6</v>
      </c>
      <c r="I1860" s="8">
        <f t="shared" si="115"/>
        <v>2.0106240000000004</v>
      </c>
      <c r="K1860" s="2">
        <f t="shared" si="114"/>
        <v>3.6619880000000009</v>
      </c>
      <c r="L1860" s="8">
        <f t="shared" si="112"/>
        <v>1.8309940000000005</v>
      </c>
    </row>
    <row r="1861" spans="1:12" x14ac:dyDescent="0.25">
      <c r="A1861" s="1">
        <v>1863</v>
      </c>
      <c r="B1861" s="1">
        <v>12</v>
      </c>
      <c r="C1861" s="3" t="s">
        <v>55</v>
      </c>
      <c r="D1861" t="s">
        <v>38</v>
      </c>
      <c r="E1861" s="13">
        <v>3.5</v>
      </c>
      <c r="F1861" s="13">
        <v>14.3</v>
      </c>
      <c r="G1861" s="10">
        <v>10.3</v>
      </c>
      <c r="H1861" s="13">
        <v>1.2</v>
      </c>
      <c r="I1861" s="8">
        <f t="shared" si="115"/>
        <v>1.130976</v>
      </c>
      <c r="K1861" s="2">
        <f t="shared" si="114"/>
        <v>2.0609270000000004</v>
      </c>
      <c r="L1861" s="8">
        <f t="shared" si="112"/>
        <v>1.0304635000000002</v>
      </c>
    </row>
    <row r="1862" spans="1:12" x14ac:dyDescent="0.25">
      <c r="A1862" s="1">
        <v>1864</v>
      </c>
      <c r="B1862" s="1">
        <v>13</v>
      </c>
      <c r="C1862" s="3" t="s">
        <v>55</v>
      </c>
      <c r="D1862" t="s">
        <v>38</v>
      </c>
      <c r="E1862" s="13">
        <v>3.4</v>
      </c>
      <c r="F1862" s="13">
        <v>13.7</v>
      </c>
      <c r="G1862" s="10">
        <v>9.6999999999999993</v>
      </c>
      <c r="H1862" s="13">
        <v>2.2000000000000002</v>
      </c>
      <c r="I1862" s="8">
        <f t="shared" si="115"/>
        <v>3.8013360000000005</v>
      </c>
      <c r="K1862" s="2">
        <f t="shared" si="114"/>
        <v>1.8173269999999997</v>
      </c>
      <c r="L1862" s="8">
        <f t="shared" si="112"/>
        <v>0.90866349999999985</v>
      </c>
    </row>
    <row r="1863" spans="1:12" x14ac:dyDescent="0.25">
      <c r="A1863" s="1">
        <v>1865</v>
      </c>
      <c r="B1863" s="1">
        <v>14</v>
      </c>
      <c r="C1863" s="3" t="s">
        <v>55</v>
      </c>
      <c r="D1863" t="s">
        <v>38</v>
      </c>
      <c r="E1863" s="13">
        <v>3.1</v>
      </c>
      <c r="F1863" s="13">
        <v>14.7</v>
      </c>
      <c r="G1863" s="10">
        <v>10.7</v>
      </c>
      <c r="H1863" s="13">
        <v>2.1</v>
      </c>
      <c r="I1863" s="8">
        <f t="shared" si="115"/>
        <v>3.4636140000000002</v>
      </c>
      <c r="K1863" s="2">
        <f t="shared" si="114"/>
        <v>2.2314469999999993</v>
      </c>
      <c r="L1863" s="8">
        <f t="shared" si="112"/>
        <v>1.1157234999999996</v>
      </c>
    </row>
    <row r="1864" spans="1:12" x14ac:dyDescent="0.25">
      <c r="A1864" s="1">
        <v>1866</v>
      </c>
      <c r="B1864" s="1">
        <v>15</v>
      </c>
      <c r="C1864" s="3" t="s">
        <v>55</v>
      </c>
      <c r="D1864" t="s">
        <v>38</v>
      </c>
      <c r="E1864" s="13">
        <v>3.1</v>
      </c>
      <c r="F1864" s="13">
        <v>16.2</v>
      </c>
      <c r="G1864" s="10">
        <v>12.2</v>
      </c>
      <c r="H1864" s="13">
        <v>1</v>
      </c>
      <c r="I1864" s="8">
        <f t="shared" si="115"/>
        <v>0.78539999999999999</v>
      </c>
      <c r="K1864" s="2">
        <f t="shared" si="114"/>
        <v>2.9287519999999994</v>
      </c>
      <c r="L1864" s="8">
        <f t="shared" si="112"/>
        <v>1.4643759999999997</v>
      </c>
    </row>
    <row r="1865" spans="1:12" x14ac:dyDescent="0.25">
      <c r="A1865" s="1">
        <v>1867</v>
      </c>
      <c r="B1865" s="1">
        <v>1</v>
      </c>
      <c r="C1865" s="3" t="s">
        <v>54</v>
      </c>
      <c r="D1865" t="s">
        <v>32</v>
      </c>
      <c r="E1865" s="13">
        <v>2.4</v>
      </c>
      <c r="F1865" s="13">
        <v>24.5</v>
      </c>
      <c r="G1865" s="10">
        <v>20.5</v>
      </c>
      <c r="H1865" s="13">
        <v>1.3</v>
      </c>
      <c r="I1865" s="8">
        <f t="shared" si="115"/>
        <v>1.327326</v>
      </c>
      <c r="K1865" s="2">
        <f t="shared" si="114"/>
        <v>8.4383749999999988</v>
      </c>
      <c r="L1865" s="8">
        <f t="shared" si="112"/>
        <v>4.2191874999999994</v>
      </c>
    </row>
    <row r="1866" spans="1:12" x14ac:dyDescent="0.25">
      <c r="A1866" s="1">
        <v>1868</v>
      </c>
      <c r="B1866" s="1">
        <v>2</v>
      </c>
      <c r="C1866" s="3" t="s">
        <v>54</v>
      </c>
      <c r="D1866" t="s">
        <v>32</v>
      </c>
      <c r="E1866" s="13">
        <v>3.3</v>
      </c>
      <c r="F1866" s="13">
        <v>14.2</v>
      </c>
      <c r="G1866" s="10">
        <v>10.199999999999999</v>
      </c>
      <c r="H1866" s="13">
        <v>1.6</v>
      </c>
      <c r="I1866" s="8">
        <f t="shared" si="115"/>
        <v>2.0106240000000004</v>
      </c>
      <c r="K1866" s="2">
        <f t="shared" si="114"/>
        <v>2.0193119999999993</v>
      </c>
      <c r="L1866" s="8">
        <f t="shared" si="112"/>
        <v>1.0096559999999997</v>
      </c>
    </row>
    <row r="1867" spans="1:12" x14ac:dyDescent="0.25">
      <c r="A1867" s="1">
        <v>1869</v>
      </c>
      <c r="B1867" s="1">
        <v>3</v>
      </c>
      <c r="C1867" s="3" t="s">
        <v>54</v>
      </c>
      <c r="D1867" t="s">
        <v>32</v>
      </c>
      <c r="E1867" s="13">
        <v>3.7</v>
      </c>
      <c r="F1867" s="13">
        <v>14.7</v>
      </c>
      <c r="G1867" s="10">
        <v>10.7</v>
      </c>
      <c r="H1867" s="13">
        <v>1.9</v>
      </c>
      <c r="I1867" s="8">
        <f t="shared" si="115"/>
        <v>2.8352939999999998</v>
      </c>
      <c r="K1867" s="2">
        <f t="shared" si="114"/>
        <v>2.2314469999999993</v>
      </c>
      <c r="L1867" s="8">
        <f t="shared" si="112"/>
        <v>1.1157234999999996</v>
      </c>
    </row>
    <row r="1868" spans="1:12" x14ac:dyDescent="0.25">
      <c r="A1868" s="1">
        <v>1870</v>
      </c>
      <c r="B1868" s="1">
        <v>4</v>
      </c>
      <c r="C1868" s="3" t="s">
        <v>54</v>
      </c>
      <c r="D1868" t="s">
        <v>32</v>
      </c>
      <c r="E1868" s="13">
        <v>4.5999999999999996</v>
      </c>
      <c r="F1868" s="13">
        <v>14.4</v>
      </c>
      <c r="G1868" s="10">
        <v>10.4</v>
      </c>
      <c r="H1868" s="13">
        <v>1.9</v>
      </c>
      <c r="I1868" s="8">
        <f t="shared" si="115"/>
        <v>2.8352939999999998</v>
      </c>
      <c r="K1868" s="2">
        <f t="shared" si="114"/>
        <v>2.1029480000000005</v>
      </c>
      <c r="L1868" s="8">
        <f t="shared" si="112"/>
        <v>1.0514740000000002</v>
      </c>
    </row>
    <row r="1869" spans="1:12" x14ac:dyDescent="0.25">
      <c r="A1869" s="1">
        <v>1871</v>
      </c>
      <c r="B1869" s="1">
        <v>5</v>
      </c>
      <c r="C1869" s="3" t="s">
        <v>54</v>
      </c>
      <c r="D1869" t="s">
        <v>32</v>
      </c>
      <c r="E1869" s="13">
        <v>4.3</v>
      </c>
      <c r="F1869" s="13">
        <v>22.9</v>
      </c>
      <c r="G1869" s="10">
        <v>18.899999999999999</v>
      </c>
      <c r="H1869" s="13">
        <v>2.2999999999999998</v>
      </c>
      <c r="I1869" s="8">
        <f t="shared" si="115"/>
        <v>4.1547659999999995</v>
      </c>
      <c r="K1869" s="2">
        <f t="shared" si="114"/>
        <v>7.158662999999998</v>
      </c>
      <c r="L1869" s="8">
        <f t="shared" si="112"/>
        <v>3.579331499999999</v>
      </c>
    </row>
    <row r="1870" spans="1:12" x14ac:dyDescent="0.25">
      <c r="A1870" s="1">
        <v>1872</v>
      </c>
      <c r="B1870" s="1">
        <v>6</v>
      </c>
      <c r="C1870" s="3" t="s">
        <v>54</v>
      </c>
      <c r="D1870" t="s">
        <v>32</v>
      </c>
      <c r="E1870" s="13">
        <v>4.9000000000000004</v>
      </c>
      <c r="F1870" s="13">
        <v>18.100000000000001</v>
      </c>
      <c r="G1870" s="10">
        <v>14.100000000000001</v>
      </c>
      <c r="H1870" s="13">
        <v>2.1</v>
      </c>
      <c r="I1870" s="8">
        <f t="shared" si="115"/>
        <v>3.4636140000000002</v>
      </c>
      <c r="K1870" s="2">
        <f t="shared" si="114"/>
        <v>3.943143000000001</v>
      </c>
      <c r="L1870" s="8">
        <f t="shared" si="112"/>
        <v>1.9715715000000005</v>
      </c>
    </row>
    <row r="1871" spans="1:12" x14ac:dyDescent="0.25">
      <c r="A1871" s="1">
        <v>1873</v>
      </c>
      <c r="B1871" s="1">
        <v>7</v>
      </c>
      <c r="C1871" s="3" t="s">
        <v>54</v>
      </c>
      <c r="D1871" t="s">
        <v>32</v>
      </c>
      <c r="E1871" s="13">
        <v>4.0999999999999996</v>
      </c>
      <c r="F1871" s="13">
        <v>20.5</v>
      </c>
      <c r="G1871" s="10">
        <v>16.5</v>
      </c>
      <c r="H1871" s="13">
        <v>2.2999999999999998</v>
      </c>
      <c r="I1871" s="8">
        <f t="shared" si="115"/>
        <v>4.1547659999999995</v>
      </c>
      <c r="K1871" s="2">
        <f t="shared" si="114"/>
        <v>5.4339750000000002</v>
      </c>
      <c r="L1871" s="8">
        <f t="shared" si="112"/>
        <v>2.7169875000000001</v>
      </c>
    </row>
    <row r="1872" spans="1:12" x14ac:dyDescent="0.25">
      <c r="A1872" s="1">
        <v>1874</v>
      </c>
      <c r="B1872" s="1">
        <v>8</v>
      </c>
      <c r="C1872" s="3" t="s">
        <v>54</v>
      </c>
      <c r="D1872" t="s">
        <v>32</v>
      </c>
      <c r="E1872" s="13">
        <v>3.4</v>
      </c>
      <c r="F1872" s="13">
        <v>11.9</v>
      </c>
      <c r="G1872" s="10">
        <v>7.9</v>
      </c>
      <c r="H1872" s="13">
        <v>2.6</v>
      </c>
      <c r="I1872" s="8">
        <f t="shared" si="115"/>
        <v>5.309304</v>
      </c>
      <c r="K1872" s="2">
        <f t="shared" si="114"/>
        <v>1.174223</v>
      </c>
      <c r="L1872" s="8">
        <f t="shared" si="112"/>
        <v>0.58711150000000001</v>
      </c>
    </row>
    <row r="1873" spans="1:13" x14ac:dyDescent="0.25">
      <c r="A1873" s="1">
        <v>1875</v>
      </c>
      <c r="B1873" s="1">
        <v>9</v>
      </c>
      <c r="C1873" s="3" t="s">
        <v>54</v>
      </c>
      <c r="D1873" t="s">
        <v>32</v>
      </c>
      <c r="E1873" s="13">
        <v>3.9</v>
      </c>
      <c r="F1873" s="13">
        <v>10.4</v>
      </c>
      <c r="G1873" s="10">
        <v>6.4</v>
      </c>
      <c r="H1873" s="13">
        <v>1.4</v>
      </c>
      <c r="I1873" s="8">
        <f t="shared" si="115"/>
        <v>1.5393839999999999</v>
      </c>
      <c r="K1873" s="2">
        <f t="shared" si="114"/>
        <v>0.73878800000000011</v>
      </c>
      <c r="L1873" s="8">
        <f t="shared" si="112"/>
        <v>0.36939400000000006</v>
      </c>
    </row>
    <row r="1874" spans="1:13" x14ac:dyDescent="0.25">
      <c r="A1874" s="1">
        <v>1876</v>
      </c>
      <c r="B1874" s="1">
        <v>10</v>
      </c>
      <c r="C1874" s="3" t="s">
        <v>54</v>
      </c>
      <c r="D1874" t="s">
        <v>32</v>
      </c>
      <c r="E1874" s="13">
        <v>4.7</v>
      </c>
      <c r="F1874" s="13">
        <v>13.9</v>
      </c>
      <c r="G1874" s="10">
        <v>9.9</v>
      </c>
      <c r="H1874" s="13">
        <v>2.5</v>
      </c>
      <c r="I1874" s="8">
        <f t="shared" si="115"/>
        <v>4.9087499999999995</v>
      </c>
      <c r="K1874" s="2">
        <f t="shared" si="114"/>
        <v>1.896903</v>
      </c>
      <c r="L1874" s="8">
        <f t="shared" si="112"/>
        <v>0.9484515</v>
      </c>
    </row>
    <row r="1875" spans="1:13" x14ac:dyDescent="0.25">
      <c r="A1875" s="1">
        <v>1877</v>
      </c>
      <c r="B1875" s="1">
        <v>11</v>
      </c>
      <c r="C1875" s="3" t="s">
        <v>54</v>
      </c>
      <c r="D1875" t="s">
        <v>32</v>
      </c>
      <c r="E1875" s="13">
        <v>4.5</v>
      </c>
      <c r="F1875" s="13">
        <v>18.2</v>
      </c>
      <c r="G1875" s="10">
        <v>14.2</v>
      </c>
      <c r="H1875" s="13">
        <v>1.4</v>
      </c>
      <c r="I1875" s="8">
        <f t="shared" si="115"/>
        <v>1.5393839999999999</v>
      </c>
      <c r="K1875" s="2">
        <f t="shared" si="114"/>
        <v>4.0005919999999993</v>
      </c>
      <c r="L1875" s="8">
        <f t="shared" si="112"/>
        <v>2.0002959999999996</v>
      </c>
    </row>
    <row r="1876" spans="1:13" x14ac:dyDescent="0.25">
      <c r="A1876" s="1">
        <v>1878</v>
      </c>
      <c r="B1876" s="1">
        <v>12</v>
      </c>
      <c r="C1876" s="3" t="s">
        <v>54</v>
      </c>
      <c r="D1876" t="s">
        <v>32</v>
      </c>
      <c r="E1876" s="13">
        <v>2.8</v>
      </c>
      <c r="F1876" s="13">
        <v>15.6</v>
      </c>
      <c r="G1876" s="10">
        <v>11.6</v>
      </c>
      <c r="H1876" s="13">
        <v>2.2999999999999998</v>
      </c>
      <c r="I1876" s="8">
        <f t="shared" si="115"/>
        <v>4.1547659999999995</v>
      </c>
      <c r="K1876" s="2">
        <f t="shared" si="114"/>
        <v>2.6388679999999995</v>
      </c>
      <c r="L1876" s="8">
        <f t="shared" si="112"/>
        <v>1.3194339999999998</v>
      </c>
    </row>
    <row r="1877" spans="1:13" x14ac:dyDescent="0.25">
      <c r="A1877" s="1">
        <v>1879</v>
      </c>
      <c r="B1877" s="1">
        <v>13</v>
      </c>
      <c r="C1877" s="3" t="s">
        <v>54</v>
      </c>
      <c r="D1877" t="s">
        <v>32</v>
      </c>
      <c r="E1877" s="13">
        <v>3.3</v>
      </c>
      <c r="F1877" s="13">
        <v>10.4</v>
      </c>
      <c r="G1877" s="10">
        <v>6.4</v>
      </c>
      <c r="H1877" s="13">
        <v>2.6</v>
      </c>
      <c r="I1877" s="8">
        <f t="shared" si="115"/>
        <v>5.309304</v>
      </c>
      <c r="K1877" s="2">
        <f t="shared" si="114"/>
        <v>0.73878800000000011</v>
      </c>
      <c r="L1877" s="8">
        <f t="shared" si="112"/>
        <v>0.36939400000000006</v>
      </c>
    </row>
    <row r="1878" spans="1:13" x14ac:dyDescent="0.25">
      <c r="A1878" s="1">
        <v>1880</v>
      </c>
      <c r="B1878" s="1">
        <v>14</v>
      </c>
      <c r="C1878" s="3" t="s">
        <v>54</v>
      </c>
      <c r="D1878" t="s">
        <v>32</v>
      </c>
      <c r="E1878" s="13">
        <v>2.5</v>
      </c>
      <c r="F1878" s="13">
        <v>10.3</v>
      </c>
      <c r="G1878" s="10">
        <v>6.3000000000000007</v>
      </c>
      <c r="H1878" s="13">
        <v>1.4</v>
      </c>
      <c r="I1878" s="8">
        <f t="shared" si="115"/>
        <v>1.5393839999999999</v>
      </c>
      <c r="K1878" s="2">
        <f t="shared" si="114"/>
        <v>0.71300700000000017</v>
      </c>
      <c r="L1878" s="8">
        <f t="shared" si="112"/>
        <v>0.35650350000000008</v>
      </c>
    </row>
    <row r="1879" spans="1:13" x14ac:dyDescent="0.25">
      <c r="A1879" s="1">
        <v>1881</v>
      </c>
      <c r="B1879" s="1">
        <v>15</v>
      </c>
      <c r="C1879" s="3" t="s">
        <v>54</v>
      </c>
      <c r="D1879" t="s">
        <v>32</v>
      </c>
      <c r="E1879" s="13">
        <v>1.9</v>
      </c>
      <c r="F1879" s="13">
        <v>12.7</v>
      </c>
      <c r="G1879" s="10">
        <v>8.6999999999999993</v>
      </c>
      <c r="H1879" s="13">
        <v>1.8</v>
      </c>
      <c r="I1879" s="8">
        <f t="shared" si="115"/>
        <v>2.5446960000000001</v>
      </c>
      <c r="K1879" s="2">
        <f t="shared" si="114"/>
        <v>1.4438069999999996</v>
      </c>
      <c r="L1879" s="8">
        <f t="shared" si="112"/>
        <v>0.72190349999999981</v>
      </c>
    </row>
    <row r="1880" spans="1:13" x14ac:dyDescent="0.25">
      <c r="A1880" s="1">
        <v>1882</v>
      </c>
      <c r="B1880" s="1">
        <v>16</v>
      </c>
      <c r="C1880" s="3" t="s">
        <v>54</v>
      </c>
      <c r="D1880" t="s">
        <v>32</v>
      </c>
      <c r="E1880" s="13">
        <v>1.9</v>
      </c>
      <c r="F1880" s="13">
        <v>17.600000000000001</v>
      </c>
      <c r="G1880" s="10">
        <v>13.600000000000001</v>
      </c>
      <c r="H1880" s="13">
        <v>1.8</v>
      </c>
      <c r="I1880" s="8">
        <f t="shared" si="115"/>
        <v>2.5446960000000001</v>
      </c>
      <c r="K1880" s="2">
        <f t="shared" si="114"/>
        <v>3.6619880000000009</v>
      </c>
      <c r="L1880" s="8">
        <f t="shared" si="112"/>
        <v>1.8309940000000005</v>
      </c>
    </row>
    <row r="1881" spans="1:13" x14ac:dyDescent="0.25">
      <c r="A1881" s="1">
        <v>1883</v>
      </c>
      <c r="B1881" s="1">
        <v>17</v>
      </c>
      <c r="C1881" s="3" t="s">
        <v>54</v>
      </c>
      <c r="D1881" t="s">
        <v>32</v>
      </c>
      <c r="E1881" s="13">
        <v>2</v>
      </c>
      <c r="F1881" s="13">
        <v>17.399999999999999</v>
      </c>
      <c r="G1881" s="10">
        <v>13.399999999999999</v>
      </c>
      <c r="H1881" s="13">
        <v>1.3</v>
      </c>
      <c r="I1881" s="8">
        <f t="shared" si="115"/>
        <v>1.327326</v>
      </c>
      <c r="K1881" s="2">
        <f t="shared" si="114"/>
        <v>3.5523679999999995</v>
      </c>
      <c r="L1881" s="8">
        <f t="shared" si="112"/>
        <v>1.7761839999999998</v>
      </c>
    </row>
    <row r="1882" spans="1:13" x14ac:dyDescent="0.25">
      <c r="A1882" s="1">
        <v>1884</v>
      </c>
      <c r="B1882" s="1">
        <v>18</v>
      </c>
      <c r="C1882" s="3" t="s">
        <v>54</v>
      </c>
      <c r="D1882" t="s">
        <v>32</v>
      </c>
      <c r="E1882" s="13">
        <v>1.8</v>
      </c>
      <c r="F1882" s="13">
        <v>15.4</v>
      </c>
      <c r="G1882" s="10">
        <v>11.4</v>
      </c>
      <c r="H1882" s="13">
        <v>1.4</v>
      </c>
      <c r="I1882" s="8">
        <f t="shared" si="115"/>
        <v>1.5393839999999999</v>
      </c>
      <c r="K1882" s="2">
        <f t="shared" si="114"/>
        <v>2.5454879999999998</v>
      </c>
      <c r="L1882" s="8">
        <f t="shared" si="112"/>
        <v>1.2727439999999999</v>
      </c>
    </row>
    <row r="1883" spans="1:13" x14ac:dyDescent="0.25">
      <c r="A1883" s="1">
        <v>1885</v>
      </c>
      <c r="B1883" s="1">
        <v>19</v>
      </c>
      <c r="C1883" s="3" t="s">
        <v>54</v>
      </c>
      <c r="D1883" t="s">
        <v>32</v>
      </c>
      <c r="E1883" s="13">
        <v>2</v>
      </c>
      <c r="F1883" s="13">
        <v>16</v>
      </c>
      <c r="G1883" s="10">
        <v>12</v>
      </c>
      <c r="H1883" s="13">
        <v>2.4</v>
      </c>
      <c r="I1883" s="8">
        <f t="shared" si="115"/>
        <v>4.5239039999999999</v>
      </c>
      <c r="K1883" s="2">
        <f t="shared" si="114"/>
        <v>2.8304999999999998</v>
      </c>
      <c r="L1883" s="8">
        <f t="shared" si="112"/>
        <v>1.4152499999999999</v>
      </c>
    </row>
    <row r="1884" spans="1:13" x14ac:dyDescent="0.25">
      <c r="A1884" s="1">
        <v>1886</v>
      </c>
      <c r="B1884" s="1">
        <v>20</v>
      </c>
      <c r="C1884" s="3" t="s">
        <v>54</v>
      </c>
      <c r="D1884" t="s">
        <v>32</v>
      </c>
      <c r="E1884" s="13">
        <v>1.7</v>
      </c>
      <c r="F1884" s="13">
        <v>13.7</v>
      </c>
      <c r="G1884" s="10">
        <v>9.6999999999999993</v>
      </c>
      <c r="H1884" s="13">
        <v>2.4</v>
      </c>
      <c r="I1884" s="8">
        <f t="shared" si="115"/>
        <v>4.5239039999999999</v>
      </c>
      <c r="K1884" s="2">
        <f t="shared" si="114"/>
        <v>1.8173269999999997</v>
      </c>
      <c r="L1884" s="8">
        <f t="shared" ref="L1884:L1909" si="116">K1884*0.5</f>
        <v>0.90866349999999985</v>
      </c>
    </row>
    <row r="1885" spans="1:13" x14ac:dyDescent="0.25">
      <c r="A1885" s="1">
        <v>1887</v>
      </c>
      <c r="B1885" s="1">
        <v>21</v>
      </c>
      <c r="C1885" s="3" t="s">
        <v>54</v>
      </c>
      <c r="D1885" t="s">
        <v>32</v>
      </c>
      <c r="E1885" s="13">
        <v>2</v>
      </c>
      <c r="F1885" s="13">
        <v>15</v>
      </c>
      <c r="G1885" s="10">
        <v>11</v>
      </c>
      <c r="H1885" s="13">
        <v>2.9</v>
      </c>
      <c r="I1885" s="8">
        <f t="shared" si="115"/>
        <v>6.6052140000000001</v>
      </c>
      <c r="K1885" s="2">
        <f t="shared" si="114"/>
        <v>2.3635999999999999</v>
      </c>
      <c r="L1885" s="8">
        <f t="shared" si="116"/>
        <v>1.1818</v>
      </c>
    </row>
    <row r="1886" spans="1:13" x14ac:dyDescent="0.25">
      <c r="A1886" s="1">
        <v>1888</v>
      </c>
      <c r="B1886" s="1">
        <v>22</v>
      </c>
      <c r="C1886" s="3" t="s">
        <v>54</v>
      </c>
      <c r="D1886" t="s">
        <v>32</v>
      </c>
      <c r="E1886" s="13">
        <v>1.9</v>
      </c>
      <c r="F1886" s="13">
        <v>16.7</v>
      </c>
      <c r="G1886" s="10">
        <v>12.7</v>
      </c>
      <c r="H1886" s="13">
        <v>2.8</v>
      </c>
      <c r="I1886" s="8">
        <f t="shared" si="115"/>
        <v>6.1575359999999995</v>
      </c>
      <c r="K1886" s="2">
        <f t="shared" si="114"/>
        <v>3.1814869999999997</v>
      </c>
      <c r="L1886" s="8">
        <f t="shared" si="116"/>
        <v>1.5907434999999999</v>
      </c>
    </row>
    <row r="1887" spans="1:13" x14ac:dyDescent="0.25">
      <c r="A1887" s="1">
        <v>1889</v>
      </c>
      <c r="B1887" s="1">
        <v>23</v>
      </c>
      <c r="C1887" s="3" t="s">
        <v>54</v>
      </c>
      <c r="D1887" t="s">
        <v>32</v>
      </c>
      <c r="E1887" s="13">
        <v>1.7</v>
      </c>
      <c r="F1887" s="13">
        <v>16.7</v>
      </c>
      <c r="G1887" s="10">
        <v>12.7</v>
      </c>
      <c r="H1887" s="13">
        <v>2.7</v>
      </c>
      <c r="I1887" s="8">
        <f t="shared" si="115"/>
        <v>5.7255660000000006</v>
      </c>
      <c r="K1887" s="2">
        <f t="shared" si="114"/>
        <v>3.1814869999999997</v>
      </c>
      <c r="L1887" s="8">
        <f t="shared" si="116"/>
        <v>1.5907434999999999</v>
      </c>
    </row>
    <row r="1888" spans="1:13" x14ac:dyDescent="0.25">
      <c r="A1888" s="1">
        <v>1890</v>
      </c>
      <c r="B1888" s="1">
        <v>24</v>
      </c>
      <c r="C1888" s="3" t="s">
        <v>54</v>
      </c>
      <c r="D1888" t="s">
        <v>32</v>
      </c>
      <c r="E1888" s="13">
        <v>2.1</v>
      </c>
      <c r="F1888" s="13">
        <v>14.8</v>
      </c>
      <c r="G1888" s="10">
        <v>10.8</v>
      </c>
      <c r="H1888" s="13">
        <v>1.8</v>
      </c>
      <c r="I1888" s="8">
        <f t="shared" si="115"/>
        <v>2.5446960000000001</v>
      </c>
      <c r="K1888" s="2">
        <f t="shared" si="114"/>
        <v>2.2750919999999999</v>
      </c>
      <c r="L1888" s="8">
        <f t="shared" si="116"/>
        <v>1.1375459999999999</v>
      </c>
      <c r="M1888" s="7">
        <f>SUM(L1850:L1888)</f>
        <v>56.603976000000024</v>
      </c>
    </row>
    <row r="1889" spans="1:13" x14ac:dyDescent="0.25">
      <c r="A1889" s="1">
        <v>1891</v>
      </c>
      <c r="B1889" s="1">
        <v>1</v>
      </c>
      <c r="C1889" s="3" t="s">
        <v>62</v>
      </c>
      <c r="D1889" t="s">
        <v>45</v>
      </c>
      <c r="E1889" s="14">
        <v>2.67</v>
      </c>
      <c r="F1889" s="14">
        <v>18</v>
      </c>
      <c r="G1889" s="14">
        <v>13.5</v>
      </c>
      <c r="H1889" s="14">
        <v>4.7</v>
      </c>
      <c r="I1889" s="8">
        <f t="shared" si="115"/>
        <v>17.349486000000002</v>
      </c>
      <c r="K1889" s="8">
        <f t="shared" ref="K1889" si="117">0.0673*(0.35*G1889*G1889*E1889)^0.976</f>
        <v>10.132391985078002</v>
      </c>
      <c r="L1889" s="8">
        <f t="shared" si="116"/>
        <v>5.0661959925390008</v>
      </c>
      <c r="M1889" s="7">
        <f>SUM(L1889)</f>
        <v>5.0661959925390008</v>
      </c>
    </row>
    <row r="1890" spans="1:13" x14ac:dyDescent="0.25">
      <c r="A1890" s="1">
        <v>1892</v>
      </c>
      <c r="B1890" s="1">
        <v>1</v>
      </c>
      <c r="C1890" s="3" t="s">
        <v>8</v>
      </c>
      <c r="D1890" s="5" t="s">
        <v>20</v>
      </c>
      <c r="E1890" s="1">
        <v>5</v>
      </c>
      <c r="F1890" s="1">
        <v>25</v>
      </c>
      <c r="G1890" s="1">
        <v>23</v>
      </c>
      <c r="H1890" s="1">
        <v>4.12</v>
      </c>
      <c r="I1890" s="8">
        <f t="shared" si="115"/>
        <v>13.331693759999999</v>
      </c>
      <c r="K1890" s="8">
        <f>0.112*(0.66*G1890*G1890*E1890)^0.916</f>
        <v>104.4388755198931</v>
      </c>
      <c r="L1890" s="8">
        <f t="shared" si="116"/>
        <v>52.219437759946551</v>
      </c>
    </row>
    <row r="1891" spans="1:13" x14ac:dyDescent="0.25">
      <c r="A1891" s="1">
        <v>1893</v>
      </c>
      <c r="B1891" s="1">
        <v>2</v>
      </c>
      <c r="C1891" s="3" t="s">
        <v>8</v>
      </c>
      <c r="D1891" s="5" t="s">
        <v>20</v>
      </c>
      <c r="E1891" s="1">
        <v>4.3</v>
      </c>
      <c r="F1891" s="1">
        <v>22</v>
      </c>
      <c r="G1891" s="1">
        <v>18</v>
      </c>
      <c r="H1891" s="1">
        <v>3.98</v>
      </c>
      <c r="I1891" s="8">
        <f t="shared" si="115"/>
        <v>12.44105016</v>
      </c>
      <c r="K1891" s="8">
        <f t="shared" ref="K1891" si="118">0.112*(0.66*G1891*G1891*E1891)^0.916</f>
        <v>58.054595347821262</v>
      </c>
      <c r="L1891" s="8">
        <f t="shared" si="116"/>
        <v>29.027297673910631</v>
      </c>
    </row>
    <row r="1892" spans="1:13" x14ac:dyDescent="0.25">
      <c r="A1892" s="1">
        <v>1894</v>
      </c>
      <c r="B1892" s="1">
        <v>3</v>
      </c>
      <c r="C1892" s="3" t="s">
        <v>8</v>
      </c>
      <c r="D1892" s="5" t="s">
        <v>20</v>
      </c>
      <c r="E1892" s="1">
        <v>2</v>
      </c>
      <c r="F1892" s="1">
        <v>14</v>
      </c>
      <c r="G1892" s="1">
        <v>12</v>
      </c>
      <c r="H1892" s="1">
        <v>3.5</v>
      </c>
      <c r="I1892" s="8">
        <f t="shared" si="115"/>
        <v>9.6211500000000001</v>
      </c>
      <c r="K1892" s="8">
        <f>0.112*(0.66*G1892*G1892*E1892)^0.916</f>
        <v>13.700101553195305</v>
      </c>
      <c r="L1892" s="8">
        <f t="shared" si="116"/>
        <v>6.8500507765976524</v>
      </c>
      <c r="M1892" s="7">
        <f>SUM(L1890:L1892)</f>
        <v>88.096786210454837</v>
      </c>
    </row>
    <row r="1893" spans="1:13" x14ac:dyDescent="0.25">
      <c r="A1893" s="1">
        <v>1895</v>
      </c>
      <c r="B1893" s="1">
        <v>1</v>
      </c>
      <c r="C1893" s="3" t="s">
        <v>59</v>
      </c>
      <c r="D1893" s="4" t="s">
        <v>42</v>
      </c>
      <c r="E1893" s="1">
        <v>4</v>
      </c>
      <c r="F1893" s="1">
        <v>10</v>
      </c>
      <c r="G1893" s="1">
        <v>8</v>
      </c>
      <c r="H1893" s="1">
        <v>1.21</v>
      </c>
      <c r="I1893" s="8">
        <f t="shared" si="115"/>
        <v>1.1499041399999999</v>
      </c>
      <c r="K1893">
        <f>-3.3488+2.7483*LN(G1893)</f>
        <v>2.3661291889986926</v>
      </c>
      <c r="L1893" s="8">
        <f t="shared" si="116"/>
        <v>1.1830645944993463</v>
      </c>
    </row>
    <row r="1894" spans="1:13" x14ac:dyDescent="0.25">
      <c r="A1894" s="1">
        <v>1896</v>
      </c>
      <c r="B1894" s="1">
        <v>2</v>
      </c>
      <c r="C1894" s="3" t="s">
        <v>59</v>
      </c>
      <c r="D1894" s="4" t="s">
        <v>42</v>
      </c>
      <c r="E1894" s="1">
        <v>3.5</v>
      </c>
      <c r="F1894" s="1">
        <v>11</v>
      </c>
      <c r="G1894" s="1">
        <v>8</v>
      </c>
      <c r="H1894" s="1">
        <v>1.45</v>
      </c>
      <c r="I1894" s="8">
        <f t="shared" si="115"/>
        <v>1.6513035</v>
      </c>
      <c r="K1894">
        <f t="shared" ref="K1894:K1905" si="119">-3.3488+2.7483*LN(G1894)</f>
        <v>2.3661291889986926</v>
      </c>
      <c r="L1894" s="8">
        <f t="shared" ref="L1894:L1904" si="120">K1894*0.5</f>
        <v>1.1830645944993463</v>
      </c>
    </row>
    <row r="1895" spans="1:13" x14ac:dyDescent="0.25">
      <c r="A1895" s="1">
        <v>1897</v>
      </c>
      <c r="B1895" s="1">
        <v>3</v>
      </c>
      <c r="C1895" s="3" t="s">
        <v>59</v>
      </c>
      <c r="D1895" s="4" t="s">
        <v>42</v>
      </c>
      <c r="E1895" s="1">
        <v>4</v>
      </c>
      <c r="F1895" s="1">
        <v>10</v>
      </c>
      <c r="G1895" s="1">
        <v>8</v>
      </c>
      <c r="H1895" s="1">
        <v>1.89</v>
      </c>
      <c r="I1895" s="8">
        <f t="shared" si="115"/>
        <v>2.8055273399999998</v>
      </c>
      <c r="K1895">
        <f t="shared" si="119"/>
        <v>2.3661291889986926</v>
      </c>
      <c r="L1895" s="8">
        <f t="shared" si="120"/>
        <v>1.1830645944993463</v>
      </c>
    </row>
    <row r="1896" spans="1:13" x14ac:dyDescent="0.25">
      <c r="A1896" s="1">
        <v>1898</v>
      </c>
      <c r="B1896" s="1">
        <v>4</v>
      </c>
      <c r="C1896" s="3" t="s">
        <v>59</v>
      </c>
      <c r="D1896" s="4" t="s">
        <v>42</v>
      </c>
      <c r="E1896" s="1">
        <v>3</v>
      </c>
      <c r="F1896" s="1">
        <v>9</v>
      </c>
      <c r="G1896" s="1">
        <v>7</v>
      </c>
      <c r="H1896" s="1">
        <v>2.1</v>
      </c>
      <c r="I1896" s="8">
        <f t="shared" si="115"/>
        <v>3.4636140000000002</v>
      </c>
      <c r="K1896">
        <f t="shared" si="119"/>
        <v>1.9991448626487167</v>
      </c>
      <c r="L1896" s="8">
        <f t="shared" si="120"/>
        <v>0.99957243132435836</v>
      </c>
    </row>
    <row r="1897" spans="1:13" x14ac:dyDescent="0.25">
      <c r="A1897" s="1">
        <v>1899</v>
      </c>
      <c r="B1897" s="1">
        <v>5</v>
      </c>
      <c r="C1897" s="3" t="s">
        <v>59</v>
      </c>
      <c r="D1897" s="4" t="s">
        <v>42</v>
      </c>
      <c r="E1897" s="1">
        <v>2.65</v>
      </c>
      <c r="F1897" s="1">
        <v>9</v>
      </c>
      <c r="G1897" s="1">
        <v>8</v>
      </c>
      <c r="H1897" s="1">
        <v>2</v>
      </c>
      <c r="I1897" s="8">
        <f t="shared" si="115"/>
        <v>3.1415999999999999</v>
      </c>
      <c r="K1897">
        <f t="shared" si="119"/>
        <v>2.3661291889986926</v>
      </c>
      <c r="L1897" s="8">
        <f t="shared" si="120"/>
        <v>1.1830645944993463</v>
      </c>
    </row>
    <row r="1898" spans="1:13" x14ac:dyDescent="0.25">
      <c r="A1898" s="1">
        <v>1900</v>
      </c>
      <c r="B1898" s="1">
        <v>6</v>
      </c>
      <c r="C1898" s="3" t="s">
        <v>59</v>
      </c>
      <c r="D1898" s="4" t="s">
        <v>42</v>
      </c>
      <c r="E1898" s="1">
        <v>2.4</v>
      </c>
      <c r="F1898" s="1">
        <v>8</v>
      </c>
      <c r="G1898" s="1">
        <v>7</v>
      </c>
      <c r="H1898" s="1">
        <v>1.45</v>
      </c>
      <c r="I1898" s="8">
        <f t="shared" si="115"/>
        <v>1.6513035</v>
      </c>
      <c r="K1898">
        <f t="shared" si="119"/>
        <v>1.9991448626487167</v>
      </c>
      <c r="L1898" s="8">
        <f t="shared" si="120"/>
        <v>0.99957243132435836</v>
      </c>
    </row>
    <row r="1899" spans="1:13" x14ac:dyDescent="0.25">
      <c r="A1899" s="1">
        <v>1901</v>
      </c>
      <c r="B1899" s="1">
        <v>7</v>
      </c>
      <c r="C1899" s="3" t="s">
        <v>59</v>
      </c>
      <c r="D1899" s="4" t="s">
        <v>42</v>
      </c>
      <c r="E1899" s="1">
        <v>3.43</v>
      </c>
      <c r="F1899" s="1">
        <v>7</v>
      </c>
      <c r="G1899" s="1">
        <v>6</v>
      </c>
      <c r="H1899" s="1">
        <v>1.56</v>
      </c>
      <c r="I1899" s="8">
        <f t="shared" si="115"/>
        <v>1.9113494400000002</v>
      </c>
      <c r="K1899">
        <f t="shared" si="119"/>
        <v>1.5754925492794629</v>
      </c>
      <c r="L1899" s="8">
        <f t="shared" si="120"/>
        <v>0.78774627463973146</v>
      </c>
    </row>
    <row r="1900" spans="1:13" x14ac:dyDescent="0.25">
      <c r="A1900" s="1">
        <v>1902</v>
      </c>
      <c r="B1900" s="1">
        <v>8</v>
      </c>
      <c r="C1900" s="3" t="s">
        <v>59</v>
      </c>
      <c r="D1900" s="4" t="s">
        <v>42</v>
      </c>
      <c r="E1900" s="1">
        <v>3.53</v>
      </c>
      <c r="F1900" s="1">
        <v>9</v>
      </c>
      <c r="G1900" s="1">
        <v>7</v>
      </c>
      <c r="H1900" s="1">
        <v>1.76</v>
      </c>
      <c r="I1900" s="8">
        <f t="shared" si="115"/>
        <v>2.4328550399999997</v>
      </c>
      <c r="K1900">
        <f t="shared" si="119"/>
        <v>1.9991448626487167</v>
      </c>
      <c r="L1900" s="8">
        <f t="shared" si="120"/>
        <v>0.99957243132435836</v>
      </c>
    </row>
    <row r="1901" spans="1:13" x14ac:dyDescent="0.25">
      <c r="A1901" s="1">
        <v>1903</v>
      </c>
      <c r="B1901" s="1">
        <v>9</v>
      </c>
      <c r="C1901" s="3" t="s">
        <v>59</v>
      </c>
      <c r="D1901" s="4" t="s">
        <v>42</v>
      </c>
      <c r="E1901" s="1">
        <v>3.56</v>
      </c>
      <c r="F1901" s="1">
        <v>7</v>
      </c>
      <c r="G1901" s="1">
        <v>5</v>
      </c>
      <c r="H1901" s="1">
        <v>1.45</v>
      </c>
      <c r="I1901" s="8">
        <f t="shared" si="115"/>
        <v>1.6513035</v>
      </c>
      <c r="K1901">
        <f t="shared" si="119"/>
        <v>1.0744182147426371</v>
      </c>
      <c r="L1901" s="8">
        <f t="shared" si="120"/>
        <v>0.53720910737131855</v>
      </c>
    </row>
    <row r="1902" spans="1:13" x14ac:dyDescent="0.25">
      <c r="A1902" s="1">
        <v>1904</v>
      </c>
      <c r="B1902" s="1">
        <v>10</v>
      </c>
      <c r="C1902" s="3" t="s">
        <v>59</v>
      </c>
      <c r="D1902" s="4" t="s">
        <v>42</v>
      </c>
      <c r="E1902" s="1">
        <v>3.02</v>
      </c>
      <c r="F1902" s="1">
        <v>5</v>
      </c>
      <c r="G1902" s="1">
        <v>5</v>
      </c>
      <c r="H1902" s="1">
        <v>1.64</v>
      </c>
      <c r="I1902" s="8">
        <f t="shared" si="115"/>
        <v>2.1124118399999996</v>
      </c>
      <c r="K1902">
        <f t="shared" si="119"/>
        <v>1.0744182147426371</v>
      </c>
      <c r="L1902" s="8">
        <f t="shared" si="120"/>
        <v>0.53720910737131855</v>
      </c>
    </row>
    <row r="1903" spans="1:13" x14ac:dyDescent="0.25">
      <c r="A1903" s="1">
        <v>1905</v>
      </c>
      <c r="B1903" s="1">
        <v>11</v>
      </c>
      <c r="C1903" s="3" t="s">
        <v>59</v>
      </c>
      <c r="D1903" s="4" t="s">
        <v>42</v>
      </c>
      <c r="E1903" s="1">
        <v>3.65</v>
      </c>
      <c r="F1903" s="1">
        <v>7</v>
      </c>
      <c r="G1903" s="1">
        <v>6</v>
      </c>
      <c r="H1903" s="1">
        <v>1.43</v>
      </c>
      <c r="I1903" s="8">
        <f t="shared" si="115"/>
        <v>1.6060644599999998</v>
      </c>
      <c r="K1903">
        <f t="shared" si="119"/>
        <v>1.5754925492794629</v>
      </c>
      <c r="L1903" s="8">
        <f t="shared" si="120"/>
        <v>0.78774627463973146</v>
      </c>
    </row>
    <row r="1904" spans="1:13" x14ac:dyDescent="0.25">
      <c r="A1904" s="1">
        <v>1906</v>
      </c>
      <c r="B1904" s="1">
        <v>12</v>
      </c>
      <c r="C1904" s="3" t="s">
        <v>59</v>
      </c>
      <c r="D1904" s="4" t="s">
        <v>42</v>
      </c>
      <c r="E1904" s="1">
        <v>1.32</v>
      </c>
      <c r="F1904" s="1">
        <v>8</v>
      </c>
      <c r="G1904" s="1">
        <v>7</v>
      </c>
      <c r="H1904" s="1">
        <v>1.31</v>
      </c>
      <c r="I1904" s="8">
        <f t="shared" si="115"/>
        <v>1.3478249400000002</v>
      </c>
      <c r="K1904">
        <f t="shared" si="119"/>
        <v>1.9991448626487167</v>
      </c>
      <c r="L1904" s="8">
        <f t="shared" si="120"/>
        <v>0.99957243132435836</v>
      </c>
      <c r="M1904" s="7">
        <f>SUM(L1893:L1904)</f>
        <v>11.380458867316918</v>
      </c>
    </row>
    <row r="1905" spans="1:13" x14ac:dyDescent="0.25">
      <c r="A1905" s="1">
        <v>1907</v>
      </c>
      <c r="B1905" s="1">
        <v>1</v>
      </c>
      <c r="C1905" s="3" t="s">
        <v>14</v>
      </c>
      <c r="D1905" s="5" t="s">
        <v>19</v>
      </c>
      <c r="E1905" s="1">
        <v>4</v>
      </c>
      <c r="F1905" s="1">
        <v>20</v>
      </c>
      <c r="G1905" s="1">
        <v>17</v>
      </c>
      <c r="H1905" s="1">
        <v>3</v>
      </c>
      <c r="I1905" s="8">
        <f t="shared" si="115"/>
        <v>7.0686</v>
      </c>
      <c r="K1905" s="8">
        <f t="shared" si="119"/>
        <v>4.4377202334696992</v>
      </c>
      <c r="L1905" s="8">
        <f t="shared" si="116"/>
        <v>2.2188601167348496</v>
      </c>
    </row>
    <row r="1906" spans="1:13" x14ac:dyDescent="0.25">
      <c r="A1906" s="1">
        <v>1908</v>
      </c>
      <c r="B1906" s="1">
        <v>2</v>
      </c>
      <c r="C1906" s="3" t="s">
        <v>14</v>
      </c>
      <c r="D1906" s="5" t="s">
        <v>19</v>
      </c>
      <c r="E1906" s="1">
        <v>3.65</v>
      </c>
      <c r="F1906" s="1">
        <v>15</v>
      </c>
      <c r="G1906" s="1">
        <v>11</v>
      </c>
      <c r="H1906" s="1">
        <v>2.76</v>
      </c>
      <c r="I1906" s="8">
        <f t="shared" si="115"/>
        <v>5.9828630399999989</v>
      </c>
      <c r="K1906">
        <f xml:space="preserve"> 0.0447*(G1906*G1906*E1906)</f>
        <v>19.741754999999998</v>
      </c>
      <c r="L1906" s="8">
        <f t="shared" si="116"/>
        <v>9.8708774999999989</v>
      </c>
    </row>
    <row r="1907" spans="1:13" x14ac:dyDescent="0.25">
      <c r="A1907" s="1">
        <v>1909</v>
      </c>
      <c r="B1907" s="1">
        <v>3</v>
      </c>
      <c r="C1907" s="3" t="s">
        <v>14</v>
      </c>
      <c r="D1907" s="5" t="s">
        <v>19</v>
      </c>
      <c r="E1907" s="1">
        <v>4.32</v>
      </c>
      <c r="F1907" s="1">
        <v>12</v>
      </c>
      <c r="G1907" s="1">
        <v>9</v>
      </c>
      <c r="H1907" s="1">
        <v>1.64</v>
      </c>
      <c r="I1907" s="8">
        <f t="shared" si="115"/>
        <v>2.1124118399999996</v>
      </c>
      <c r="K1907">
        <f t="shared" ref="K1907:K1909" si="121" xml:space="preserve"> 0.0447*(G1907*G1907*E1907)</f>
        <v>15.641423999999999</v>
      </c>
      <c r="L1907" s="8">
        <f t="shared" si="116"/>
        <v>7.8207119999999994</v>
      </c>
    </row>
    <row r="1908" spans="1:13" x14ac:dyDescent="0.25">
      <c r="A1908" s="1">
        <v>1910</v>
      </c>
      <c r="B1908" s="1">
        <v>4</v>
      </c>
      <c r="C1908" s="3" t="s">
        <v>14</v>
      </c>
      <c r="D1908" s="5" t="s">
        <v>19</v>
      </c>
      <c r="E1908" s="1">
        <v>1</v>
      </c>
      <c r="F1908" s="1">
        <v>10</v>
      </c>
      <c r="G1908" s="1">
        <v>8</v>
      </c>
      <c r="H1908" s="1">
        <v>1.32</v>
      </c>
      <c r="I1908" s="8">
        <f t="shared" si="115"/>
        <v>1.3684809600000001</v>
      </c>
      <c r="K1908">
        <f t="shared" si="121"/>
        <v>2.8607999999999998</v>
      </c>
      <c r="L1908" s="8">
        <f t="shared" si="116"/>
        <v>1.4303999999999999</v>
      </c>
    </row>
    <row r="1909" spans="1:13" x14ac:dyDescent="0.25">
      <c r="A1909" s="1">
        <v>1911</v>
      </c>
      <c r="B1909" s="1">
        <v>5</v>
      </c>
      <c r="C1909" s="3" t="s">
        <v>14</v>
      </c>
      <c r="D1909" s="5" t="s">
        <v>19</v>
      </c>
      <c r="E1909" s="1">
        <v>1</v>
      </c>
      <c r="F1909" s="1">
        <v>10</v>
      </c>
      <c r="G1909" s="1">
        <v>8</v>
      </c>
      <c r="H1909" s="1">
        <v>1.53</v>
      </c>
      <c r="I1909" s="8">
        <f t="shared" si="115"/>
        <v>1.83854286</v>
      </c>
      <c r="K1909">
        <f t="shared" si="121"/>
        <v>2.8607999999999998</v>
      </c>
      <c r="L1909" s="8">
        <f t="shared" si="116"/>
        <v>1.4303999999999999</v>
      </c>
      <c r="M1909" s="7">
        <f>SUM(L1906:L1909)</f>
        <v>20.552389499999997</v>
      </c>
    </row>
    <row r="1910" spans="1:13" x14ac:dyDescent="0.25">
      <c r="I1910" s="1">
        <f>SUBTOTAL(9,I2:I1909)</f>
        <v>8718.3297154799966</v>
      </c>
    </row>
  </sheetData>
  <autoFilter ref="A1:M1909" xr:uid="{F2C9ADFE-E029-4956-BE42-ACA16CF63E5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E4BD-B461-4570-8235-FAD3A828B581}">
  <dimension ref="A2:E29"/>
  <sheetViews>
    <sheetView workbookViewId="0">
      <selection activeCell="E30" sqref="E30"/>
    </sheetView>
  </sheetViews>
  <sheetFormatPr baseColWidth="10" defaultRowHeight="15" x14ac:dyDescent="0.25"/>
  <cols>
    <col min="1" max="1" width="16.85546875" bestFit="1" customWidth="1"/>
    <col min="2" max="2" width="40" bestFit="1" customWidth="1"/>
  </cols>
  <sheetData>
    <row r="2" spans="1:5" x14ac:dyDescent="0.25">
      <c r="A2" s="3" t="s">
        <v>53</v>
      </c>
      <c r="B2" s="5" t="s">
        <v>34</v>
      </c>
      <c r="C2" s="8">
        <v>97.216709499999993</v>
      </c>
      <c r="E2" s="8">
        <f>C2/1000</f>
        <v>9.7216709499999998E-2</v>
      </c>
    </row>
    <row r="3" spans="1:5" x14ac:dyDescent="0.25">
      <c r="A3" s="3" t="s">
        <v>37</v>
      </c>
      <c r="B3" s="5" t="s">
        <v>36</v>
      </c>
      <c r="C3" s="8">
        <v>784.21280348957305</v>
      </c>
      <c r="E3" s="8">
        <f t="shared" ref="E3:E28" si="0">C3/1000</f>
        <v>0.78421280348957301</v>
      </c>
    </row>
    <row r="4" spans="1:5" x14ac:dyDescent="0.25">
      <c r="A4" s="3" t="s">
        <v>58</v>
      </c>
      <c r="B4" s="4" t="s">
        <v>41</v>
      </c>
      <c r="C4" s="8">
        <v>175.75142121785819</v>
      </c>
      <c r="E4" s="8">
        <f t="shared" si="0"/>
        <v>0.17575142121785819</v>
      </c>
    </row>
    <row r="5" spans="1:5" x14ac:dyDescent="0.25">
      <c r="A5" s="3" t="s">
        <v>12</v>
      </c>
      <c r="B5" s="5" t="s">
        <v>33</v>
      </c>
      <c r="C5" s="8">
        <v>1215.3713932298599</v>
      </c>
      <c r="E5" s="8">
        <f t="shared" si="0"/>
        <v>1.21537139322986</v>
      </c>
    </row>
    <row r="6" spans="1:5" x14ac:dyDescent="0.25">
      <c r="A6" s="3" t="s">
        <v>13</v>
      </c>
      <c r="B6" s="4" t="s">
        <v>31</v>
      </c>
      <c r="C6" s="8">
        <v>452.30610918062666</v>
      </c>
      <c r="E6" s="8">
        <f t="shared" si="0"/>
        <v>0.45230610918062664</v>
      </c>
    </row>
    <row r="7" spans="1:5" x14ac:dyDescent="0.25">
      <c r="A7" s="3" t="s">
        <v>63</v>
      </c>
      <c r="B7" s="5" t="s">
        <v>22</v>
      </c>
      <c r="C7" s="8">
        <v>4199.2838303331464</v>
      </c>
      <c r="E7" s="8">
        <f t="shared" si="0"/>
        <v>4.1992838303331466</v>
      </c>
    </row>
    <row r="8" spans="1:5" x14ac:dyDescent="0.25">
      <c r="A8" s="3" t="s">
        <v>63</v>
      </c>
      <c r="B8" s="5" t="s">
        <v>22</v>
      </c>
      <c r="C8" s="8">
        <v>4963.5586965597768</v>
      </c>
      <c r="E8" s="8">
        <f t="shared" si="0"/>
        <v>4.9635586965597769</v>
      </c>
    </row>
    <row r="9" spans="1:5" x14ac:dyDescent="0.25">
      <c r="A9" s="3" t="s">
        <v>4</v>
      </c>
      <c r="B9" s="5" t="s">
        <v>0</v>
      </c>
      <c r="C9" s="8">
        <v>2870.847161699347</v>
      </c>
      <c r="E9" s="8">
        <f t="shared" si="0"/>
        <v>2.8708471616993472</v>
      </c>
    </row>
    <row r="10" spans="1:5" x14ac:dyDescent="0.25">
      <c r="A10" s="3" t="s">
        <v>7</v>
      </c>
      <c r="B10" s="5" t="s">
        <v>21</v>
      </c>
      <c r="C10" s="8">
        <v>25.031999999999996</v>
      </c>
      <c r="E10" s="8">
        <f t="shared" si="0"/>
        <v>2.5031999999999995E-2</v>
      </c>
    </row>
    <row r="11" spans="1:5" x14ac:dyDescent="0.25">
      <c r="A11" s="3" t="s">
        <v>61</v>
      </c>
      <c r="B11" s="2" t="s">
        <v>44</v>
      </c>
      <c r="C11" s="8">
        <v>160.64294499999997</v>
      </c>
      <c r="E11" s="8">
        <f t="shared" si="0"/>
        <v>0.16064294499999998</v>
      </c>
    </row>
    <row r="12" spans="1:5" x14ac:dyDescent="0.25">
      <c r="A12" s="3" t="s">
        <v>60</v>
      </c>
      <c r="B12" s="4" t="s">
        <v>43</v>
      </c>
      <c r="C12" s="8">
        <v>181.80524774945263</v>
      </c>
      <c r="E12" s="8">
        <f t="shared" si="0"/>
        <v>0.18180524774945264</v>
      </c>
    </row>
    <row r="13" spans="1:5" x14ac:dyDescent="0.25">
      <c r="A13" s="3" t="s">
        <v>56</v>
      </c>
      <c r="B13" s="4" t="s">
        <v>35</v>
      </c>
      <c r="C13" s="8">
        <v>478.17699999999996</v>
      </c>
      <c r="E13" s="8">
        <f t="shared" si="0"/>
        <v>0.47817699999999996</v>
      </c>
    </row>
    <row r="14" spans="1:5" x14ac:dyDescent="0.25">
      <c r="A14" s="3" t="s">
        <v>47</v>
      </c>
      <c r="B14" s="5" t="s">
        <v>16</v>
      </c>
      <c r="C14" s="8">
        <v>166.39169974537845</v>
      </c>
      <c r="E14" s="8">
        <f t="shared" si="0"/>
        <v>0.16639169974537846</v>
      </c>
    </row>
    <row r="15" spans="1:5" x14ac:dyDescent="0.25">
      <c r="A15" s="3" t="s">
        <v>51</v>
      </c>
      <c r="B15" s="5" t="s">
        <v>28</v>
      </c>
      <c r="C15" s="8">
        <v>377.8082390728967</v>
      </c>
      <c r="E15" s="8">
        <f t="shared" si="0"/>
        <v>0.37780823907289668</v>
      </c>
    </row>
    <row r="16" spans="1:5" x14ac:dyDescent="0.25">
      <c r="A16" s="3" t="s">
        <v>46</v>
      </c>
      <c r="B16" s="6" t="s">
        <v>15</v>
      </c>
      <c r="C16" s="8">
        <v>216.34944756237871</v>
      </c>
      <c r="E16" s="8">
        <f t="shared" si="0"/>
        <v>0.21634944756237873</v>
      </c>
    </row>
    <row r="17" spans="1:5" x14ac:dyDescent="0.25">
      <c r="A17" s="3" t="s">
        <v>9</v>
      </c>
      <c r="B17" s="5" t="s">
        <v>26</v>
      </c>
      <c r="C17" s="15">
        <v>47.259221443533185</v>
      </c>
      <c r="E17" s="8">
        <f t="shared" si="0"/>
        <v>4.7259221443533186E-2</v>
      </c>
    </row>
    <row r="18" spans="1:5" x14ac:dyDescent="0.25">
      <c r="A18" s="3" t="s">
        <v>50</v>
      </c>
      <c r="B18" s="5" t="s">
        <v>27</v>
      </c>
      <c r="C18" s="15">
        <v>62.975319910202472</v>
      </c>
      <c r="E18" s="8">
        <f t="shared" si="0"/>
        <v>6.2975319910202471E-2</v>
      </c>
    </row>
    <row r="19" spans="1:5" x14ac:dyDescent="0.25">
      <c r="A19" s="3" t="s">
        <v>10</v>
      </c>
      <c r="B19" s="5" t="s">
        <v>25</v>
      </c>
      <c r="C19" s="8">
        <v>242.95549360771975</v>
      </c>
      <c r="E19" s="8">
        <f t="shared" si="0"/>
        <v>0.24295549360771976</v>
      </c>
    </row>
    <row r="20" spans="1:5" x14ac:dyDescent="0.25">
      <c r="A20" s="3" t="s">
        <v>48</v>
      </c>
      <c r="B20" s="6" t="s">
        <v>18</v>
      </c>
      <c r="C20" s="8">
        <v>349.38993044556713</v>
      </c>
      <c r="E20" s="8">
        <f t="shared" si="0"/>
        <v>0.34938993044556715</v>
      </c>
    </row>
    <row r="21" spans="1:5" x14ac:dyDescent="0.25">
      <c r="A21" s="3" t="s">
        <v>57</v>
      </c>
      <c r="B21" s="2" t="s">
        <v>40</v>
      </c>
      <c r="C21" s="8">
        <v>159.43070316307998</v>
      </c>
      <c r="E21" s="8">
        <f t="shared" si="0"/>
        <v>0.15943070316307997</v>
      </c>
    </row>
    <row r="22" spans="1:5" x14ac:dyDescent="0.25">
      <c r="A22" s="3" t="s">
        <v>3</v>
      </c>
      <c r="B22" s="5" t="s">
        <v>24</v>
      </c>
      <c r="C22" s="8">
        <v>1915.0891928014623</v>
      </c>
      <c r="E22" s="8">
        <f t="shared" si="0"/>
        <v>1.9150891928014624</v>
      </c>
    </row>
    <row r="23" spans="1:5" x14ac:dyDescent="0.25">
      <c r="A23" s="3" t="s">
        <v>11</v>
      </c>
      <c r="B23" s="5" t="s">
        <v>30</v>
      </c>
      <c r="C23" s="8">
        <v>379.53380136359971</v>
      </c>
      <c r="E23" s="8">
        <f t="shared" si="0"/>
        <v>0.37953380136359971</v>
      </c>
    </row>
    <row r="24" spans="1:5" x14ac:dyDescent="0.25">
      <c r="A24" s="3" t="s">
        <v>54</v>
      </c>
      <c r="B24" t="s">
        <v>32</v>
      </c>
      <c r="C24" s="8">
        <v>56.603976000000024</v>
      </c>
      <c r="E24" s="8">
        <f t="shared" si="0"/>
        <v>5.6603976000000021E-2</v>
      </c>
    </row>
    <row r="25" spans="1:5" x14ac:dyDescent="0.25">
      <c r="A25" s="3" t="s">
        <v>62</v>
      </c>
      <c r="B25" t="s">
        <v>45</v>
      </c>
      <c r="C25" s="8">
        <v>5.0661959925390008</v>
      </c>
      <c r="E25" s="8">
        <f t="shared" si="0"/>
        <v>5.0661959925390005E-3</v>
      </c>
    </row>
    <row r="26" spans="1:5" x14ac:dyDescent="0.25">
      <c r="A26" s="3" t="s">
        <v>8</v>
      </c>
      <c r="B26" s="5" t="s">
        <v>20</v>
      </c>
      <c r="C26" s="8">
        <v>88.096786210454837</v>
      </c>
      <c r="E26" s="8">
        <f t="shared" si="0"/>
        <v>8.809678621045483E-2</v>
      </c>
    </row>
    <row r="27" spans="1:5" x14ac:dyDescent="0.25">
      <c r="A27" s="3" t="s">
        <v>59</v>
      </c>
      <c r="B27" s="4" t="s">
        <v>42</v>
      </c>
      <c r="C27" s="8">
        <v>11.380458867316918</v>
      </c>
      <c r="E27" s="8">
        <f t="shared" si="0"/>
        <v>1.1380458867316917E-2</v>
      </c>
    </row>
    <row r="28" spans="1:5" x14ac:dyDescent="0.25">
      <c r="A28" s="3" t="s">
        <v>14</v>
      </c>
      <c r="B28" s="5" t="s">
        <v>19</v>
      </c>
      <c r="C28" s="8">
        <v>20.552389499999997</v>
      </c>
      <c r="E28" s="8">
        <f t="shared" si="0"/>
        <v>2.0552389499999997E-2</v>
      </c>
    </row>
    <row r="29" spans="1:5" x14ac:dyDescent="0.25">
      <c r="E29" s="7">
        <f>SUM(E2:E28)</f>
        <v>19.703088173645774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NOMBRE DE ESPECIE</vt:lpstr>
      <vt:lpstr>DATOS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M. T. Ferrer</dc:creator>
  <cp:lastModifiedBy>Luis M. T. Ferrer</cp:lastModifiedBy>
  <dcterms:created xsi:type="dcterms:W3CDTF">2025-02-02T19:03:32Z</dcterms:created>
  <dcterms:modified xsi:type="dcterms:W3CDTF">2025-02-17T06:05:07Z</dcterms:modified>
</cp:coreProperties>
</file>